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\Six-Sigma-White-Belt-main\In-Lecture Exercises Data\"/>
    </mc:Choice>
  </mc:AlternateContent>
  <xr:revisionPtr revIDLastSave="0" documentId="13_ncr:1_{1EEE9AAF-D75C-409F-A2C1-01FA3E7AF35E}" xr6:coauthVersionLast="47" xr6:coauthVersionMax="47" xr10:uidLastSave="{00000000-0000-0000-0000-000000000000}"/>
  <bookViews>
    <workbookView xWindow="28680" yWindow="-120" windowWidth="29040" windowHeight="17640" xr2:uid="{6A16A8C7-F3F5-4F8B-A583-CBF4E1411ED9}"/>
  </bookViews>
  <sheets>
    <sheet name="Working Worksheet" sheetId="4" r:id="rId1"/>
    <sheet name="Completed Worksheet" sheetId="2" r:id="rId2"/>
    <sheet name="Control Ch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D46" i="4"/>
  <c r="E46" i="4" s="1"/>
  <c r="J46" i="4" s="1"/>
  <c r="C2" i="4"/>
  <c r="D2" i="4" s="1"/>
  <c r="E2" i="4" s="1"/>
  <c r="F2" i="4" s="1"/>
  <c r="C3" i="4"/>
  <c r="D3" i="4" s="1"/>
  <c r="E3" i="4" s="1"/>
  <c r="C4" i="4"/>
  <c r="D4" i="4" s="1"/>
  <c r="E4" i="4" s="1"/>
  <c r="G4" i="4" s="1"/>
  <c r="C5" i="4"/>
  <c r="D5" i="4" s="1"/>
  <c r="E5" i="4" s="1"/>
  <c r="C6" i="4"/>
  <c r="D6" i="4" s="1"/>
  <c r="E6" i="4" s="1"/>
  <c r="C7" i="4"/>
  <c r="D7" i="4" s="1"/>
  <c r="E7" i="4" s="1"/>
  <c r="C8" i="4"/>
  <c r="D8" i="4" s="1"/>
  <c r="E8" i="4" s="1"/>
  <c r="I8" i="4" s="1"/>
  <c r="C9" i="4"/>
  <c r="D9" i="4" s="1"/>
  <c r="E9" i="4" s="1"/>
  <c r="C10" i="4"/>
  <c r="C11" i="4"/>
  <c r="D11" i="4" s="1"/>
  <c r="E11" i="4" s="1"/>
  <c r="C12" i="4"/>
  <c r="D12" i="4" s="1"/>
  <c r="E12" i="4" s="1"/>
  <c r="K12" i="4" s="1"/>
  <c r="C13" i="4"/>
  <c r="D13" i="4" s="1"/>
  <c r="E13" i="4" s="1"/>
  <c r="C14" i="4"/>
  <c r="D14" i="4" s="1"/>
  <c r="E14" i="4" s="1"/>
  <c r="F14" i="4" s="1"/>
  <c r="C15" i="4"/>
  <c r="D15" i="4" s="1"/>
  <c r="E15" i="4" s="1"/>
  <c r="C16" i="4"/>
  <c r="D16" i="4" s="1"/>
  <c r="E16" i="4" s="1"/>
  <c r="G16" i="4" s="1"/>
  <c r="C17" i="4"/>
  <c r="D17" i="4" s="1"/>
  <c r="E17" i="4" s="1"/>
  <c r="C18" i="4"/>
  <c r="D18" i="4" s="1"/>
  <c r="E18" i="4" s="1"/>
  <c r="C19" i="4"/>
  <c r="D19" i="4" s="1"/>
  <c r="E19" i="4" s="1"/>
  <c r="C20" i="4"/>
  <c r="D10" i="4" s="1"/>
  <c r="E10" i="4" s="1"/>
  <c r="J10" i="4" s="1"/>
  <c r="C21" i="4"/>
  <c r="D21" i="4" s="1"/>
  <c r="E21" i="4" s="1"/>
  <c r="C22" i="4"/>
  <c r="C23" i="4"/>
  <c r="D23" i="4" s="1"/>
  <c r="E23" i="4" s="1"/>
  <c r="C24" i="4"/>
  <c r="D24" i="4" s="1"/>
  <c r="E24" i="4" s="1"/>
  <c r="K24" i="4" s="1"/>
  <c r="C25" i="4"/>
  <c r="D25" i="4" s="1"/>
  <c r="E25" i="4" s="1"/>
  <c r="C26" i="4"/>
  <c r="D26" i="4" s="1"/>
  <c r="E26" i="4" s="1"/>
  <c r="F26" i="4" s="1"/>
  <c r="C27" i="4"/>
  <c r="D27" i="4" s="1"/>
  <c r="E27" i="4" s="1"/>
  <c r="C28" i="4"/>
  <c r="D28" i="4" s="1"/>
  <c r="E28" i="4" s="1"/>
  <c r="G28" i="4" s="1"/>
  <c r="C29" i="4"/>
  <c r="D29" i="4" s="1"/>
  <c r="E29" i="4" s="1"/>
  <c r="C30" i="4"/>
  <c r="D30" i="4" s="1"/>
  <c r="E30" i="4" s="1"/>
  <c r="C31" i="4"/>
  <c r="D31" i="4" s="1"/>
  <c r="E31" i="4" s="1"/>
  <c r="C32" i="4"/>
  <c r="D32" i="4" s="1"/>
  <c r="E32" i="4" s="1"/>
  <c r="I32" i="4" s="1"/>
  <c r="C33" i="4"/>
  <c r="D33" i="4" s="1"/>
  <c r="E33" i="4" s="1"/>
  <c r="C34" i="4"/>
  <c r="C35" i="4"/>
  <c r="D35" i="4" s="1"/>
  <c r="E35" i="4" s="1"/>
  <c r="C36" i="4"/>
  <c r="D36" i="4" s="1"/>
  <c r="E36" i="4" s="1"/>
  <c r="K36" i="4" s="1"/>
  <c r="C37" i="4"/>
  <c r="D37" i="4" s="1"/>
  <c r="E37" i="4" s="1"/>
  <c r="C38" i="4"/>
  <c r="D38" i="4" s="1"/>
  <c r="E38" i="4" s="1"/>
  <c r="F38" i="4" s="1"/>
  <c r="C39" i="4"/>
  <c r="D39" i="4" s="1"/>
  <c r="E39" i="4" s="1"/>
  <c r="C40" i="4"/>
  <c r="D40" i="4" s="1"/>
  <c r="E40" i="4" s="1"/>
  <c r="G40" i="4" s="1"/>
  <c r="C41" i="4"/>
  <c r="D41" i="4" s="1"/>
  <c r="E41" i="4" s="1"/>
  <c r="C42" i="4"/>
  <c r="D42" i="4" s="1"/>
  <c r="E42" i="4" s="1"/>
  <c r="C43" i="4"/>
  <c r="D43" i="4" s="1"/>
  <c r="E43" i="4" s="1"/>
  <c r="C44" i="4"/>
  <c r="D34" i="4" s="1"/>
  <c r="E34" i="4" s="1"/>
  <c r="J34" i="4" s="1"/>
  <c r="C45" i="4"/>
  <c r="D45" i="4" s="1"/>
  <c r="E45" i="4" s="1"/>
  <c r="C46" i="4"/>
  <c r="C47" i="4"/>
  <c r="D47" i="4" s="1"/>
  <c r="E47" i="4" s="1"/>
  <c r="C48" i="4"/>
  <c r="D48" i="4" s="1"/>
  <c r="E48" i="4" s="1"/>
  <c r="K48" i="4" s="1"/>
  <c r="C49" i="4"/>
  <c r="D49" i="4" s="1"/>
  <c r="E49" i="4" s="1"/>
  <c r="C50" i="4"/>
  <c r="D50" i="4" s="1"/>
  <c r="E50" i="4" s="1"/>
  <c r="F50" i="4" s="1"/>
  <c r="C51" i="4"/>
  <c r="D51" i="4" s="1"/>
  <c r="E51" i="4" s="1"/>
  <c r="B2" i="4"/>
  <c r="K2" i="4" s="1"/>
  <c r="B3" i="4"/>
  <c r="B4" i="4"/>
  <c r="F4" i="4" s="1"/>
  <c r="B5" i="4"/>
  <c r="F5" i="4" s="1"/>
  <c r="B6" i="4"/>
  <c r="B7" i="4"/>
  <c r="B8" i="4"/>
  <c r="B9" i="4"/>
  <c r="H9" i="4" s="1"/>
  <c r="B10" i="4"/>
  <c r="B11" i="4"/>
  <c r="B12" i="4"/>
  <c r="B13" i="4"/>
  <c r="J13" i="4" s="1"/>
  <c r="B14" i="4"/>
  <c r="K14" i="4" s="1"/>
  <c r="B15" i="4"/>
  <c r="B16" i="4"/>
  <c r="F16" i="4" s="1"/>
  <c r="B17" i="4"/>
  <c r="F17" i="4" s="1"/>
  <c r="B18" i="4"/>
  <c r="G18" i="4" s="1"/>
  <c r="B19" i="4"/>
  <c r="B20" i="4"/>
  <c r="B21" i="4"/>
  <c r="H21" i="4" s="1"/>
  <c r="B22" i="4"/>
  <c r="B23" i="4"/>
  <c r="B24" i="4"/>
  <c r="B25" i="4"/>
  <c r="J25" i="4" s="1"/>
  <c r="B26" i="4"/>
  <c r="K26" i="4" s="1"/>
  <c r="B27" i="4"/>
  <c r="B28" i="4"/>
  <c r="F28" i="4" s="1"/>
  <c r="B29" i="4"/>
  <c r="F29" i="4" s="1"/>
  <c r="B30" i="4"/>
  <c r="G30" i="4" s="1"/>
  <c r="B31" i="4"/>
  <c r="B32" i="4"/>
  <c r="B33" i="4"/>
  <c r="H33" i="4" s="1"/>
  <c r="B34" i="4"/>
  <c r="B35" i="4"/>
  <c r="B36" i="4"/>
  <c r="B37" i="4"/>
  <c r="J37" i="4" s="1"/>
  <c r="B38" i="4"/>
  <c r="K38" i="4" s="1"/>
  <c r="B39" i="4"/>
  <c r="B40" i="4"/>
  <c r="F40" i="4" s="1"/>
  <c r="B41" i="4"/>
  <c r="F41" i="4" s="1"/>
  <c r="B42" i="4"/>
  <c r="G42" i="4" s="1"/>
  <c r="B43" i="4"/>
  <c r="B44" i="4"/>
  <c r="B45" i="4"/>
  <c r="H45" i="4" s="1"/>
  <c r="B46" i="4"/>
  <c r="I46" i="4" s="1"/>
  <c r="B47" i="4"/>
  <c r="B48" i="4"/>
  <c r="B49" i="4"/>
  <c r="J49" i="4" s="1"/>
  <c r="B50" i="4"/>
  <c r="K50" i="4" s="1"/>
  <c r="B51" i="4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I34" i="4" l="1"/>
  <c r="I10" i="4"/>
  <c r="H32" i="4"/>
  <c r="H8" i="4"/>
  <c r="G43" i="4"/>
  <c r="G31" i="4"/>
  <c r="G19" i="4"/>
  <c r="G7" i="4"/>
  <c r="G6" i="4"/>
  <c r="K51" i="4"/>
  <c r="K39" i="4"/>
  <c r="K27" i="4"/>
  <c r="K15" i="4"/>
  <c r="K3" i="4"/>
  <c r="J48" i="4"/>
  <c r="J36" i="4"/>
  <c r="J24" i="4"/>
  <c r="J12" i="4"/>
  <c r="I47" i="4"/>
  <c r="I35" i="4"/>
  <c r="I23" i="4"/>
  <c r="I11" i="4"/>
  <c r="D22" i="4"/>
  <c r="E22" i="4" s="1"/>
  <c r="J22" i="4" s="1"/>
  <c r="H18" i="4"/>
  <c r="F51" i="4"/>
  <c r="F39" i="4"/>
  <c r="F27" i="4"/>
  <c r="F15" i="4"/>
  <c r="F3" i="4"/>
  <c r="G41" i="4"/>
  <c r="G29" i="4"/>
  <c r="G17" i="4"/>
  <c r="G5" i="4"/>
  <c r="H43" i="4"/>
  <c r="H31" i="4"/>
  <c r="H19" i="4"/>
  <c r="H7" i="4"/>
  <c r="I45" i="4"/>
  <c r="I33" i="4"/>
  <c r="I21" i="4"/>
  <c r="I9" i="4"/>
  <c r="J47" i="4"/>
  <c r="J35" i="4"/>
  <c r="J23" i="4"/>
  <c r="J11" i="4"/>
  <c r="K49" i="4"/>
  <c r="K37" i="4"/>
  <c r="K25" i="4"/>
  <c r="K13" i="4"/>
  <c r="F49" i="4"/>
  <c r="F37" i="4"/>
  <c r="F25" i="4"/>
  <c r="F13" i="4"/>
  <c r="G51" i="4"/>
  <c r="G39" i="4"/>
  <c r="G27" i="4"/>
  <c r="G15" i="4"/>
  <c r="G3" i="4"/>
  <c r="H41" i="4"/>
  <c r="H29" i="4"/>
  <c r="H17" i="4"/>
  <c r="H5" i="4"/>
  <c r="I43" i="4"/>
  <c r="I31" i="4"/>
  <c r="I19" i="4"/>
  <c r="I7" i="4"/>
  <c r="J45" i="4"/>
  <c r="J33" i="4"/>
  <c r="J21" i="4"/>
  <c r="J9" i="4"/>
  <c r="K47" i="4"/>
  <c r="K35" i="4"/>
  <c r="K23" i="4"/>
  <c r="K11" i="4"/>
  <c r="D44" i="4"/>
  <c r="E44" i="4" s="1"/>
  <c r="I44" i="4" s="1"/>
  <c r="D20" i="4"/>
  <c r="E20" i="4" s="1"/>
  <c r="I20" i="4" s="1"/>
  <c r="F48" i="4"/>
  <c r="F36" i="4"/>
  <c r="F24" i="4"/>
  <c r="F12" i="4"/>
  <c r="G50" i="4"/>
  <c r="G38" i="4"/>
  <c r="G26" i="4"/>
  <c r="G14" i="4"/>
  <c r="G2" i="4"/>
  <c r="H40" i="4"/>
  <c r="H28" i="4"/>
  <c r="H16" i="4"/>
  <c r="H4" i="4"/>
  <c r="I42" i="4"/>
  <c r="I30" i="4"/>
  <c r="I18" i="4"/>
  <c r="I6" i="4"/>
  <c r="J32" i="4"/>
  <c r="J20" i="4"/>
  <c r="J8" i="4"/>
  <c r="K46" i="4"/>
  <c r="K34" i="4"/>
  <c r="K22" i="4"/>
  <c r="K10" i="4"/>
  <c r="H42" i="4"/>
  <c r="F47" i="4"/>
  <c r="F35" i="4"/>
  <c r="F23" i="4"/>
  <c r="F11" i="4"/>
  <c r="G49" i="4"/>
  <c r="G37" i="4"/>
  <c r="G25" i="4"/>
  <c r="G13" i="4"/>
  <c r="H51" i="4"/>
  <c r="H39" i="4"/>
  <c r="H27" i="4"/>
  <c r="H15" i="4"/>
  <c r="H3" i="4"/>
  <c r="I41" i="4"/>
  <c r="I29" i="4"/>
  <c r="I17" i="4"/>
  <c r="I5" i="4"/>
  <c r="J43" i="4"/>
  <c r="J31" i="4"/>
  <c r="J19" i="4"/>
  <c r="J7" i="4"/>
  <c r="K45" i="4"/>
  <c r="K33" i="4"/>
  <c r="K21" i="4"/>
  <c r="K9" i="4"/>
  <c r="F46" i="4"/>
  <c r="F34" i="4"/>
  <c r="F22" i="4"/>
  <c r="F10" i="4"/>
  <c r="G48" i="4"/>
  <c r="G36" i="4"/>
  <c r="G24" i="4"/>
  <c r="G12" i="4"/>
  <c r="H50" i="4"/>
  <c r="H38" i="4"/>
  <c r="H26" i="4"/>
  <c r="H14" i="4"/>
  <c r="H2" i="4"/>
  <c r="I40" i="4"/>
  <c r="I28" i="4"/>
  <c r="I16" i="4"/>
  <c r="I4" i="4"/>
  <c r="J42" i="4"/>
  <c r="J30" i="4"/>
  <c r="J18" i="4"/>
  <c r="J6" i="4"/>
  <c r="K44" i="4"/>
  <c r="K32" i="4"/>
  <c r="K20" i="4"/>
  <c r="K8" i="4"/>
  <c r="F45" i="4"/>
  <c r="F33" i="4"/>
  <c r="F21" i="4"/>
  <c r="F9" i="4"/>
  <c r="G47" i="4"/>
  <c r="G35" i="4"/>
  <c r="G23" i="4"/>
  <c r="G11" i="4"/>
  <c r="H49" i="4"/>
  <c r="H37" i="4"/>
  <c r="H25" i="4"/>
  <c r="H13" i="4"/>
  <c r="I51" i="4"/>
  <c r="I39" i="4"/>
  <c r="I27" i="4"/>
  <c r="I15" i="4"/>
  <c r="I3" i="4"/>
  <c r="J41" i="4"/>
  <c r="J29" i="4"/>
  <c r="J17" i="4"/>
  <c r="J5" i="4"/>
  <c r="K43" i="4"/>
  <c r="K31" i="4"/>
  <c r="K19" i="4"/>
  <c r="K7" i="4"/>
  <c r="F32" i="4"/>
  <c r="F20" i="4"/>
  <c r="F8" i="4"/>
  <c r="G46" i="4"/>
  <c r="G34" i="4"/>
  <c r="G22" i="4"/>
  <c r="G10" i="4"/>
  <c r="H48" i="4"/>
  <c r="H36" i="4"/>
  <c r="H24" i="4"/>
  <c r="H12" i="4"/>
  <c r="I50" i="4"/>
  <c r="I38" i="4"/>
  <c r="I26" i="4"/>
  <c r="I14" i="4"/>
  <c r="I2" i="4"/>
  <c r="J40" i="4"/>
  <c r="J28" i="4"/>
  <c r="J16" i="4"/>
  <c r="J4" i="4"/>
  <c r="K42" i="4"/>
  <c r="K30" i="4"/>
  <c r="K18" i="4"/>
  <c r="K6" i="4"/>
  <c r="F43" i="4"/>
  <c r="F31" i="4"/>
  <c r="F19" i="4"/>
  <c r="F7" i="4"/>
  <c r="G45" i="4"/>
  <c r="G33" i="4"/>
  <c r="G21" i="4"/>
  <c r="G9" i="4"/>
  <c r="H47" i="4"/>
  <c r="H35" i="4"/>
  <c r="H23" i="4"/>
  <c r="H11" i="4"/>
  <c r="I49" i="4"/>
  <c r="I37" i="4"/>
  <c r="I25" i="4"/>
  <c r="I13" i="4"/>
  <c r="J51" i="4"/>
  <c r="J39" i="4"/>
  <c r="J27" i="4"/>
  <c r="J15" i="4"/>
  <c r="J3" i="4"/>
  <c r="K41" i="4"/>
  <c r="K29" i="4"/>
  <c r="K17" i="4"/>
  <c r="K5" i="4"/>
  <c r="H30" i="4"/>
  <c r="F42" i="4"/>
  <c r="F30" i="4"/>
  <c r="F18" i="4"/>
  <c r="F6" i="4"/>
  <c r="G44" i="4"/>
  <c r="G32" i="4"/>
  <c r="G20" i="4"/>
  <c r="G8" i="4"/>
  <c r="H46" i="4"/>
  <c r="H34" i="4"/>
  <c r="H22" i="4"/>
  <c r="H10" i="4"/>
  <c r="I48" i="4"/>
  <c r="I36" i="4"/>
  <c r="I24" i="4"/>
  <c r="I12" i="4"/>
  <c r="J50" i="4"/>
  <c r="J38" i="4"/>
  <c r="J26" i="4"/>
  <c r="J14" i="4"/>
  <c r="J2" i="4"/>
  <c r="K40" i="4"/>
  <c r="K28" i="4"/>
  <c r="K16" i="4"/>
  <c r="K4" i="4"/>
  <c r="H6" i="4"/>
  <c r="H20" i="4" l="1"/>
  <c r="H44" i="4"/>
  <c r="I22" i="4"/>
  <c r="F44" i="4"/>
  <c r="J44" i="4"/>
</calcChain>
</file>

<file path=xl/sharedStrings.xml><?xml version="1.0" encoding="utf-8"?>
<sst xmlns="http://schemas.openxmlformats.org/spreadsheetml/2006/main" count="26" uniqueCount="13">
  <si>
    <t>I</t>
  </si>
  <si>
    <t>I Bar</t>
  </si>
  <si>
    <t>MR</t>
  </si>
  <si>
    <t>MR Bar</t>
  </si>
  <si>
    <t>I Sigma</t>
  </si>
  <si>
    <t>I Bar + 2Sigma</t>
  </si>
  <si>
    <t>I Bar + 1Sigma</t>
  </si>
  <si>
    <t>I Bar + 3Sigma</t>
  </si>
  <si>
    <t>I Bar - 1Sigma</t>
  </si>
  <si>
    <t>I Bar - 2Sigma</t>
  </si>
  <si>
    <t>I Bar - 3Sigma</t>
  </si>
  <si>
    <t>MR UCL</t>
  </si>
  <si>
    <t>MR 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</si>
</sst>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2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Individuals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'Working Worksheet'!$A$1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'Working Worksheet'!$A$2:$A$51</c:f>
              <c:numCache>
                <c:formatCode>General</c:formatCode>
                <c:ptCount val="50"/>
                <c:pt idx="0">
                  <c:v>49.594044012659573</c:v>
                </c:pt>
                <c:pt idx="1">
                  <c:v>50.587666360313939</c:v>
                </c:pt>
                <c:pt idx="2">
                  <c:v>44.437533211415236</c:v>
                </c:pt>
                <c:pt idx="3">
                  <c:v>45.113370719223553</c:v>
                </c:pt>
                <c:pt idx="4">
                  <c:v>56.177317132752364</c:v>
                </c:pt>
                <c:pt idx="5">
                  <c:v>53.819167931722149</c:v>
                </c:pt>
                <c:pt idx="6">
                  <c:v>66.891033736269065</c:v>
                </c:pt>
                <c:pt idx="7">
                  <c:v>49.595067657132653</c:v>
                </c:pt>
                <c:pt idx="8">
                  <c:v>47.570371125066899</c:v>
                </c:pt>
                <c:pt idx="9">
                  <c:v>52.112412636424409</c:v>
                </c:pt>
                <c:pt idx="10">
                  <c:v>48.301597060442248</c:v>
                </c:pt>
                <c:pt idx="11">
                  <c:v>53.741222985558657</c:v>
                </c:pt>
                <c:pt idx="12">
                  <c:v>54.217526400924008</c:v>
                </c:pt>
                <c:pt idx="13">
                  <c:v>51.756011609019609</c:v>
                </c:pt>
                <c:pt idx="14">
                  <c:v>35.501809898276676</c:v>
                </c:pt>
                <c:pt idx="15">
                  <c:v>51.234855565825328</c:v>
                </c:pt>
                <c:pt idx="16">
                  <c:v>49.58837304035071</c:v>
                </c:pt>
                <c:pt idx="17">
                  <c:v>47.594083442463706</c:v>
                </c:pt>
                <c:pt idx="18">
                  <c:v>45.031952283908034</c:v>
                </c:pt>
                <c:pt idx="19">
                  <c:v>55.73113711273605</c:v>
                </c:pt>
                <c:pt idx="20">
                  <c:v>45.842475333213152</c:v>
                </c:pt>
                <c:pt idx="21">
                  <c:v>37.257147717318539</c:v>
                </c:pt>
                <c:pt idx="22">
                  <c:v>50.63628701200814</c:v>
                </c:pt>
                <c:pt idx="23">
                  <c:v>46.996249346227479</c:v>
                </c:pt>
                <c:pt idx="24">
                  <c:v>50.78766586446978</c:v>
                </c:pt>
                <c:pt idx="25">
                  <c:v>47.446210037528388</c:v>
                </c:pt>
                <c:pt idx="26">
                  <c:v>53.470676244094477</c:v>
                </c:pt>
                <c:pt idx="27">
                  <c:v>54.492875252156246</c:v>
                </c:pt>
                <c:pt idx="28">
                  <c:v>47.715110129446906</c:v>
                </c:pt>
                <c:pt idx="29">
                  <c:v>52.742488496070791</c:v>
                </c:pt>
                <c:pt idx="30">
                  <c:v>46.866189809380757</c:v>
                </c:pt>
                <c:pt idx="31">
                  <c:v>50.783872869335305</c:v>
                </c:pt>
                <c:pt idx="32">
                  <c:v>48.694763295442641</c:v>
                </c:pt>
                <c:pt idx="33">
                  <c:v>51.819318686162234</c:v>
                </c:pt>
                <c:pt idx="34">
                  <c:v>45.273194927815965</c:v>
                </c:pt>
                <c:pt idx="35">
                  <c:v>52.919185045180591</c:v>
                </c:pt>
                <c:pt idx="36">
                  <c:v>58.794693069095288</c:v>
                </c:pt>
                <c:pt idx="37">
                  <c:v>51.860766092228481</c:v>
                </c:pt>
                <c:pt idx="38">
                  <c:v>55.181603712401909</c:v>
                </c:pt>
                <c:pt idx="39">
                  <c:v>52.95403379207896</c:v>
                </c:pt>
                <c:pt idx="40">
                  <c:v>48.468454983887831</c:v>
                </c:pt>
                <c:pt idx="41">
                  <c:v>55.622083558546841</c:v>
                </c:pt>
                <c:pt idx="42">
                  <c:v>52.769776808644409</c:v>
                </c:pt>
                <c:pt idx="43">
                  <c:v>52.245122003857858</c:v>
                </c:pt>
                <c:pt idx="44">
                  <c:v>43.053523868128366</c:v>
                </c:pt>
                <c:pt idx="45">
                  <c:v>55.519800718869014</c:v>
                </c:pt>
                <c:pt idx="46">
                  <c:v>54.617561262313352</c:v>
                </c:pt>
                <c:pt idx="47">
                  <c:v>49.421891884232764</c:v>
                </c:pt>
                <c:pt idx="48">
                  <c:v>40.386987841210072</c:v>
                </c:pt>
                <c:pt idx="49">
                  <c:v>43.807338427405014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3-4F43-87D4-B824A54AEF8C}"/>
            </c:ext>
          </c:extLst>
        </c:ser>
        <c:ser>
          <c:idx val="1"/>
          <c:order val="1"/>
          <c:tx>
            <c:strRef>
              <c:f>'Working Worksheet'!$B$1</c:f>
              <c:strCache>
                <c:ptCount val="1"/>
                <c:pt idx="0">
                  <c:v>I Bar</c:v>
                </c:pt>
              </c:strCache>
            </c:strRef>
          </c:tx>
          <c:spPr>
            <a:ln w="19050" cap="rnd">
              <a:solidFill>
                <a:schemeClr val="tx2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'Working Worksheet'!$B$2:$B$51</c:f>
              <c:numCache>
                <c:formatCode>0</c:formatCode>
                <c:ptCount val="50"/>
                <c:pt idx="0">
                  <c:v>50.140878040224713</c:v>
                </c:pt>
                <c:pt idx="1">
                  <c:v>50.140878040224713</c:v>
                </c:pt>
                <c:pt idx="2">
                  <c:v>50.140878040224713</c:v>
                </c:pt>
                <c:pt idx="3">
                  <c:v>50.140878040224713</c:v>
                </c:pt>
                <c:pt idx="4">
                  <c:v>50.140878040224713</c:v>
                </c:pt>
                <c:pt idx="5">
                  <c:v>50.140878040224713</c:v>
                </c:pt>
                <c:pt idx="6">
                  <c:v>50.140878040224713</c:v>
                </c:pt>
                <c:pt idx="7">
                  <c:v>50.140878040224713</c:v>
                </c:pt>
                <c:pt idx="8">
                  <c:v>50.140878040224713</c:v>
                </c:pt>
                <c:pt idx="9">
                  <c:v>50.140878040224713</c:v>
                </c:pt>
                <c:pt idx="10">
                  <c:v>50.140878040224713</c:v>
                </c:pt>
                <c:pt idx="11">
                  <c:v>50.140878040224713</c:v>
                </c:pt>
                <c:pt idx="12">
                  <c:v>50.140878040224713</c:v>
                </c:pt>
                <c:pt idx="13">
                  <c:v>50.140878040224713</c:v>
                </c:pt>
                <c:pt idx="14">
                  <c:v>50.140878040224713</c:v>
                </c:pt>
                <c:pt idx="15">
                  <c:v>50.140878040224713</c:v>
                </c:pt>
                <c:pt idx="16">
                  <c:v>50.140878040224713</c:v>
                </c:pt>
                <c:pt idx="17">
                  <c:v>50.140878040224713</c:v>
                </c:pt>
                <c:pt idx="18">
                  <c:v>50.140878040224713</c:v>
                </c:pt>
                <c:pt idx="19">
                  <c:v>50.140878040224713</c:v>
                </c:pt>
                <c:pt idx="20">
                  <c:v>50.140878040224713</c:v>
                </c:pt>
                <c:pt idx="21">
                  <c:v>50.140878040224713</c:v>
                </c:pt>
                <c:pt idx="22">
                  <c:v>50.140878040224713</c:v>
                </c:pt>
                <c:pt idx="23">
                  <c:v>50.140878040224713</c:v>
                </c:pt>
                <c:pt idx="24">
                  <c:v>50.140878040224713</c:v>
                </c:pt>
                <c:pt idx="25">
                  <c:v>50.140878040224713</c:v>
                </c:pt>
                <c:pt idx="26">
                  <c:v>50.140878040224713</c:v>
                </c:pt>
                <c:pt idx="27">
                  <c:v>50.140878040224713</c:v>
                </c:pt>
                <c:pt idx="28">
                  <c:v>50.140878040224713</c:v>
                </c:pt>
                <c:pt idx="29">
                  <c:v>50.140878040224713</c:v>
                </c:pt>
                <c:pt idx="30">
                  <c:v>50.140878040224713</c:v>
                </c:pt>
                <c:pt idx="31">
                  <c:v>50.140878040224713</c:v>
                </c:pt>
                <c:pt idx="32">
                  <c:v>50.140878040224713</c:v>
                </c:pt>
                <c:pt idx="33">
                  <c:v>50.140878040224713</c:v>
                </c:pt>
                <c:pt idx="34">
                  <c:v>50.140878040224713</c:v>
                </c:pt>
                <c:pt idx="35">
                  <c:v>50.140878040224713</c:v>
                </c:pt>
                <c:pt idx="36">
                  <c:v>50.140878040224713</c:v>
                </c:pt>
                <c:pt idx="37">
                  <c:v>50.140878040224713</c:v>
                </c:pt>
                <c:pt idx="38">
                  <c:v>50.140878040224713</c:v>
                </c:pt>
                <c:pt idx="39">
                  <c:v>50.140878040224713</c:v>
                </c:pt>
                <c:pt idx="40">
                  <c:v>50.140878040224713</c:v>
                </c:pt>
                <c:pt idx="41">
                  <c:v>50.140878040224713</c:v>
                </c:pt>
                <c:pt idx="42">
                  <c:v>50.140878040224713</c:v>
                </c:pt>
                <c:pt idx="43">
                  <c:v>50.140878040224713</c:v>
                </c:pt>
                <c:pt idx="44">
                  <c:v>50.140878040224713</c:v>
                </c:pt>
                <c:pt idx="45">
                  <c:v>50.140878040224713</c:v>
                </c:pt>
                <c:pt idx="46">
                  <c:v>50.140878040224713</c:v>
                </c:pt>
                <c:pt idx="47">
                  <c:v>50.140878040224713</c:v>
                </c:pt>
                <c:pt idx="48">
                  <c:v>50.140878040224713</c:v>
                </c:pt>
                <c:pt idx="49">
                  <c:v>50.140878040224713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3-4F43-87D4-B824A54AEF8C}"/>
            </c:ext>
          </c:extLst>
        </c:ser>
        <c:ser>
          <c:idx val="5"/>
          <c:order val="2"/>
          <c:tx>
            <c:strRef>
              <c:f>'Working Worksheet'!$F$1</c:f>
              <c:strCache>
                <c:ptCount val="1"/>
                <c:pt idx="0">
                  <c:v>I Bar + 1Sigma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'Working Worksheet'!$F$2:$F$51</c:f>
              <c:numCache>
                <c:formatCode>0</c:formatCode>
                <c:ptCount val="50"/>
                <c:pt idx="0">
                  <c:v>55.167766544915736</c:v>
                </c:pt>
                <c:pt idx="1">
                  <c:v>55.252379149591469</c:v>
                </c:pt>
                <c:pt idx="2">
                  <c:v>55.245280303966226</c:v>
                </c:pt>
                <c:pt idx="3">
                  <c:v>55.34113680475263</c:v>
                </c:pt>
                <c:pt idx="4">
                  <c:v>55.240958448925824</c:v>
                </c:pt>
                <c:pt idx="5">
                  <c:v>55.307836729067368</c:v>
                </c:pt>
                <c:pt idx="6">
                  <c:v>55.161891846662222</c:v>
                </c:pt>
                <c:pt idx="7">
                  <c:v>54.922071161657378</c:v>
                </c:pt>
                <c:pt idx="8">
                  <c:v>54.993172337546227</c:v>
                </c:pt>
                <c:pt idx="9">
                  <c:v>55.013310429053348</c:v>
                </c:pt>
                <c:pt idx="10">
                  <c:v>55.050661673703537</c:v>
                </c:pt>
                <c:pt idx="11">
                  <c:v>55.0529032179263</c:v>
                </c:pt>
                <c:pt idx="12">
                  <c:v>55.171055069948551</c:v>
                </c:pt>
                <c:pt idx="13">
                  <c:v>55.248027585226112</c:v>
                </c:pt>
                <c:pt idx="14">
                  <c:v>54.989621925652102</c:v>
                </c:pt>
                <c:pt idx="15">
                  <c:v>54.729650736067839</c:v>
                </c:pt>
                <c:pt idx="16">
                  <c:v>54.821683826270089</c:v>
                </c:pt>
                <c:pt idx="17">
                  <c:v>54.909951055175419</c:v>
                </c:pt>
                <c:pt idx="18">
                  <c:v>54.988003559672002</c:v>
                </c:pt>
                <c:pt idx="19">
                  <c:v>54.838391707610363</c:v>
                </c:pt>
                <c:pt idx="20">
                  <c:v>54.702757358830461</c:v>
                </c:pt>
                <c:pt idx="21">
                  <c:v>54.597611609732049</c:v>
                </c:pt>
                <c:pt idx="22">
                  <c:v>54.333175698248844</c:v>
                </c:pt>
                <c:pt idx="23">
                  <c:v>54.368928065351241</c:v>
                </c:pt>
                <c:pt idx="24">
                  <c:v>54.402269033371581</c:v>
                </c:pt>
                <c:pt idx="25">
                  <c:v>54.454233331716551</c:v>
                </c:pt>
                <c:pt idx="26">
                  <c:v>54.411421517378372</c:v>
                </c:pt>
                <c:pt idx="27">
                  <c:v>54.557697112281531</c:v>
                </c:pt>
                <c:pt idx="28">
                  <c:v>54.485340841753271</c:v>
                </c:pt>
                <c:pt idx="29">
                  <c:v>54.479986893488338</c:v>
                </c:pt>
                <c:pt idx="30">
                  <c:v>54.436468103585476</c:v>
                </c:pt>
                <c:pt idx="31">
                  <c:v>54.479755829020171</c:v>
                </c:pt>
                <c:pt idx="32">
                  <c:v>54.617913067587381</c:v>
                </c:pt>
                <c:pt idx="33">
                  <c:v>54.718327133093503</c:v>
                </c:pt>
                <c:pt idx="34">
                  <c:v>54.641711376134822</c:v>
                </c:pt>
                <c:pt idx="35">
                  <c:v>54.489876262987188</c:v>
                </c:pt>
                <c:pt idx="36">
                  <c:v>54.428463013959913</c:v>
                </c:pt>
                <c:pt idx="37">
                  <c:v>54.285423520882077</c:v>
                </c:pt>
                <c:pt idx="38">
                  <c:v>54.385468562401584</c:v>
                </c:pt>
                <c:pt idx="39">
                  <c:v>54.591813516358108</c:v>
                </c:pt>
                <c:pt idx="40">
                  <c:v>54.639249368209818</c:v>
                </c:pt>
                <c:pt idx="41">
                  <c:v>54.434416259788641</c:v>
                </c:pt>
                <c:pt idx="42">
                  <c:v>54.655028445267995</c:v>
                </c:pt>
                <c:pt idx="43">
                  <c:v>55.233461430589969</c:v>
                </c:pt>
                <c:pt idx="44">
                  <c:v>54.724128677723904</c:v>
                </c:pt>
                <c:pt idx="45">
                  <c:v>53.430446030269728</c:v>
                </c:pt>
                <c:pt idx="46">
                  <c:v>54.052873609218111</c:v>
                </c:pt>
                <c:pt idx="47">
                  <c:v>53.82150884082094</c:v>
                </c:pt>
                <c:pt idx="48">
                  <c:v>51.656990888715377</c:v>
                </c:pt>
                <c:pt idx="49">
                  <c:v>50.140878040224713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93-4F43-87D4-B824A54AEF8C}"/>
            </c:ext>
          </c:extLst>
        </c:ser>
        <c:ser>
          <c:idx val="6"/>
          <c:order val="3"/>
          <c:tx>
            <c:strRef>
              <c:f>'Working Worksheet'!$G$1</c:f>
              <c:strCache>
                <c:ptCount val="1"/>
                <c:pt idx="0">
                  <c:v>I Bar + 2Sigma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'Working Worksheet'!$G$2:$G$51</c:f>
              <c:numCache>
                <c:formatCode>0</c:formatCode>
                <c:ptCount val="50"/>
                <c:pt idx="0">
                  <c:v>60.194655049606752</c:v>
                </c:pt>
                <c:pt idx="1">
                  <c:v>60.363880258958226</c:v>
                </c:pt>
                <c:pt idx="2">
                  <c:v>60.349682567707745</c:v>
                </c:pt>
                <c:pt idx="3">
                  <c:v>60.541395569280553</c:v>
                </c:pt>
                <c:pt idx="4">
                  <c:v>60.341038857626941</c:v>
                </c:pt>
                <c:pt idx="5">
                  <c:v>60.474795417910023</c:v>
                </c:pt>
                <c:pt idx="6">
                  <c:v>60.182905653099724</c:v>
                </c:pt>
                <c:pt idx="7">
                  <c:v>59.703264283090036</c:v>
                </c:pt>
                <c:pt idx="8">
                  <c:v>59.845466634867748</c:v>
                </c:pt>
                <c:pt idx="9">
                  <c:v>59.885742817881976</c:v>
                </c:pt>
                <c:pt idx="10">
                  <c:v>59.960445307182354</c:v>
                </c:pt>
                <c:pt idx="11">
                  <c:v>59.964928395627879</c:v>
                </c:pt>
                <c:pt idx="12">
                  <c:v>60.201232099672396</c:v>
                </c:pt>
                <c:pt idx="13">
                  <c:v>60.35517713022751</c:v>
                </c:pt>
                <c:pt idx="14">
                  <c:v>59.838365811079484</c:v>
                </c:pt>
                <c:pt idx="15">
                  <c:v>59.318423431910972</c:v>
                </c:pt>
                <c:pt idx="16">
                  <c:v>59.502489612315458</c:v>
                </c:pt>
                <c:pt idx="17">
                  <c:v>59.679024070126125</c:v>
                </c:pt>
                <c:pt idx="18">
                  <c:v>59.835129079119298</c:v>
                </c:pt>
                <c:pt idx="19">
                  <c:v>59.535905374996005</c:v>
                </c:pt>
                <c:pt idx="20">
                  <c:v>59.264636677436201</c:v>
                </c:pt>
                <c:pt idx="21">
                  <c:v>59.054345179239377</c:v>
                </c:pt>
                <c:pt idx="22">
                  <c:v>58.525473356272983</c:v>
                </c:pt>
                <c:pt idx="23">
                  <c:v>58.596978090477769</c:v>
                </c:pt>
                <c:pt idx="24">
                  <c:v>58.663660026518443</c:v>
                </c:pt>
                <c:pt idx="25">
                  <c:v>58.76758862320839</c:v>
                </c:pt>
                <c:pt idx="26">
                  <c:v>58.681964994532024</c:v>
                </c:pt>
                <c:pt idx="27">
                  <c:v>58.974516184338341</c:v>
                </c:pt>
                <c:pt idx="28">
                  <c:v>58.829803643281828</c:v>
                </c:pt>
                <c:pt idx="29">
                  <c:v>58.81909574675197</c:v>
                </c:pt>
                <c:pt idx="30">
                  <c:v>58.732058166946231</c:v>
                </c:pt>
                <c:pt idx="31">
                  <c:v>58.818633617815621</c:v>
                </c:pt>
                <c:pt idx="32">
                  <c:v>59.094948094950041</c:v>
                </c:pt>
                <c:pt idx="33">
                  <c:v>59.295776225962292</c:v>
                </c:pt>
                <c:pt idx="34">
                  <c:v>59.142544712044931</c:v>
                </c:pt>
                <c:pt idx="35">
                  <c:v>58.838874485749656</c:v>
                </c:pt>
                <c:pt idx="36">
                  <c:v>58.71604798769512</c:v>
                </c:pt>
                <c:pt idx="37">
                  <c:v>58.429969001539433</c:v>
                </c:pt>
                <c:pt idx="38">
                  <c:v>58.630059084578448</c:v>
                </c:pt>
                <c:pt idx="39">
                  <c:v>59.042748992491497</c:v>
                </c:pt>
                <c:pt idx="40">
                  <c:v>59.137620696194929</c:v>
                </c:pt>
                <c:pt idx="41">
                  <c:v>58.727954479352576</c:v>
                </c:pt>
                <c:pt idx="42">
                  <c:v>59.169178850311276</c:v>
                </c:pt>
                <c:pt idx="43">
                  <c:v>60.326044820955218</c:v>
                </c:pt>
                <c:pt idx="44">
                  <c:v>59.307379315223102</c:v>
                </c:pt>
                <c:pt idx="45">
                  <c:v>56.720014020314743</c:v>
                </c:pt>
                <c:pt idx="46">
                  <c:v>57.964869178211515</c:v>
                </c:pt>
                <c:pt idx="47">
                  <c:v>57.502139641417173</c:v>
                </c:pt>
                <c:pt idx="48">
                  <c:v>53.173103737206048</c:v>
                </c:pt>
                <c:pt idx="49">
                  <c:v>50.140878040224713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93-4F43-87D4-B824A54AEF8C}"/>
            </c:ext>
          </c:extLst>
        </c:ser>
        <c:ser>
          <c:idx val="7"/>
          <c:order val="4"/>
          <c:tx>
            <c:strRef>
              <c:f>'Working Worksheet'!$H$1</c:f>
              <c:strCache>
                <c:ptCount val="1"/>
                <c:pt idx="0">
                  <c:v>I Bar + 3Sigma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'Working Worksheet'!$H$2:$H$51</c:f>
              <c:numCache>
                <c:formatCode>0</c:formatCode>
                <c:ptCount val="50"/>
                <c:pt idx="0">
                  <c:v>65.221543554297781</c:v>
                </c:pt>
                <c:pt idx="1">
                  <c:v>65.475381368324975</c:v>
                </c:pt>
                <c:pt idx="2">
                  <c:v>65.454084831449251</c:v>
                </c:pt>
                <c:pt idx="3">
                  <c:v>65.741654333808469</c:v>
                </c:pt>
                <c:pt idx="4">
                  <c:v>65.441119266328059</c:v>
                </c:pt>
                <c:pt idx="5">
                  <c:v>65.641754106752686</c:v>
                </c:pt>
                <c:pt idx="6">
                  <c:v>65.203919459537232</c:v>
                </c:pt>
                <c:pt idx="7">
                  <c:v>64.484457404522701</c:v>
                </c:pt>
                <c:pt idx="8">
                  <c:v>64.697760932189254</c:v>
                </c:pt>
                <c:pt idx="9">
                  <c:v>64.758175206710618</c:v>
                </c:pt>
                <c:pt idx="10">
                  <c:v>64.870228940661178</c:v>
                </c:pt>
                <c:pt idx="11">
                  <c:v>64.876953573329473</c:v>
                </c:pt>
                <c:pt idx="12">
                  <c:v>65.231409129396241</c:v>
                </c:pt>
                <c:pt idx="13">
                  <c:v>65.462326675228908</c:v>
                </c:pt>
                <c:pt idx="14">
                  <c:v>64.68710969650688</c:v>
                </c:pt>
                <c:pt idx="15">
                  <c:v>63.907196127754098</c:v>
                </c:pt>
                <c:pt idx="16">
                  <c:v>64.183295398360826</c:v>
                </c:pt>
                <c:pt idx="17">
                  <c:v>64.448097085076839</c:v>
                </c:pt>
                <c:pt idx="18">
                  <c:v>64.682254598566587</c:v>
                </c:pt>
                <c:pt idx="19">
                  <c:v>64.233419042381655</c:v>
                </c:pt>
                <c:pt idx="20">
                  <c:v>63.826515996041948</c:v>
                </c:pt>
                <c:pt idx="21">
                  <c:v>63.511078748746712</c:v>
                </c:pt>
                <c:pt idx="22">
                  <c:v>62.717771014297114</c:v>
                </c:pt>
                <c:pt idx="23">
                  <c:v>62.825028115604297</c:v>
                </c:pt>
                <c:pt idx="24">
                  <c:v>62.925051019665304</c:v>
                </c:pt>
                <c:pt idx="25">
                  <c:v>63.080943914700228</c:v>
                </c:pt>
                <c:pt idx="26">
                  <c:v>62.952508471685682</c:v>
                </c:pt>
                <c:pt idx="27">
                  <c:v>63.391335256395152</c:v>
                </c:pt>
                <c:pt idx="28">
                  <c:v>63.174266444810385</c:v>
                </c:pt>
                <c:pt idx="29">
                  <c:v>63.158204600015594</c:v>
                </c:pt>
                <c:pt idx="30">
                  <c:v>63.027648230306994</c:v>
                </c:pt>
                <c:pt idx="31">
                  <c:v>63.157511406611079</c:v>
                </c:pt>
                <c:pt idx="32">
                  <c:v>63.571983122312702</c:v>
                </c:pt>
                <c:pt idx="33">
                  <c:v>63.873225318831089</c:v>
                </c:pt>
                <c:pt idx="34">
                  <c:v>63.643378047955039</c:v>
                </c:pt>
                <c:pt idx="35">
                  <c:v>63.187872708512131</c:v>
                </c:pt>
                <c:pt idx="36">
                  <c:v>63.003632961430327</c:v>
                </c:pt>
                <c:pt idx="37">
                  <c:v>62.574514482196797</c:v>
                </c:pt>
                <c:pt idx="38">
                  <c:v>62.87464960675532</c:v>
                </c:pt>
                <c:pt idx="39">
                  <c:v>63.493684468624892</c:v>
                </c:pt>
                <c:pt idx="40">
                  <c:v>63.635992024180041</c:v>
                </c:pt>
                <c:pt idx="41">
                  <c:v>63.021492698916504</c:v>
                </c:pt>
                <c:pt idx="42">
                  <c:v>63.683329255354565</c:v>
                </c:pt>
                <c:pt idx="43">
                  <c:v>65.418628211320467</c:v>
                </c:pt>
                <c:pt idx="44">
                  <c:v>63.890629952722293</c:v>
                </c:pt>
                <c:pt idx="45">
                  <c:v>60.009582010359765</c:v>
                </c:pt>
                <c:pt idx="46">
                  <c:v>61.876864747204912</c:v>
                </c:pt>
                <c:pt idx="47">
                  <c:v>61.1827704420134</c:v>
                </c:pt>
                <c:pt idx="48">
                  <c:v>54.689216585696713</c:v>
                </c:pt>
                <c:pt idx="49">
                  <c:v>50.140878040224713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93-4F43-87D4-B824A54AEF8C}"/>
            </c:ext>
          </c:extLst>
        </c:ser>
        <c:ser>
          <c:idx val="8"/>
          <c:order val="5"/>
          <c:tx>
            <c:strRef>
              <c:f>'Working Worksheet'!$I$1</c:f>
              <c:strCache>
                <c:ptCount val="1"/>
                <c:pt idx="0">
                  <c:v>I Bar - 1Sigma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'Working Worksheet'!$I$2:$I$51</c:f>
              <c:numCache>
                <c:formatCode>0</c:formatCode>
                <c:ptCount val="50"/>
                <c:pt idx="0">
                  <c:v>45.11398953553369</c:v>
                </c:pt>
                <c:pt idx="1">
                  <c:v>45.029376930857957</c:v>
                </c:pt>
                <c:pt idx="2">
                  <c:v>45.036475776483201</c:v>
                </c:pt>
                <c:pt idx="3">
                  <c:v>44.940619275696797</c:v>
                </c:pt>
                <c:pt idx="4">
                  <c:v>45.040797631523603</c:v>
                </c:pt>
                <c:pt idx="5">
                  <c:v>44.973919351382058</c:v>
                </c:pt>
                <c:pt idx="6">
                  <c:v>45.119864233787204</c:v>
                </c:pt>
                <c:pt idx="7">
                  <c:v>45.359684918792048</c:v>
                </c:pt>
                <c:pt idx="8">
                  <c:v>45.288583742903199</c:v>
                </c:pt>
                <c:pt idx="9">
                  <c:v>45.268445651396078</c:v>
                </c:pt>
                <c:pt idx="10">
                  <c:v>45.231094406745889</c:v>
                </c:pt>
                <c:pt idx="11">
                  <c:v>45.228852862523127</c:v>
                </c:pt>
                <c:pt idx="12">
                  <c:v>45.110701010500875</c:v>
                </c:pt>
                <c:pt idx="13">
                  <c:v>45.033728495223315</c:v>
                </c:pt>
                <c:pt idx="14">
                  <c:v>45.292134154797324</c:v>
                </c:pt>
                <c:pt idx="15">
                  <c:v>45.552105344381587</c:v>
                </c:pt>
                <c:pt idx="16">
                  <c:v>45.460072254179337</c:v>
                </c:pt>
                <c:pt idx="17">
                  <c:v>45.371805025274007</c:v>
                </c:pt>
                <c:pt idx="18">
                  <c:v>45.293752520777424</c:v>
                </c:pt>
                <c:pt idx="19">
                  <c:v>45.443364372839063</c:v>
                </c:pt>
                <c:pt idx="20">
                  <c:v>45.578998721618966</c:v>
                </c:pt>
                <c:pt idx="21">
                  <c:v>45.684144470717378</c:v>
                </c:pt>
                <c:pt idx="22">
                  <c:v>45.948580382200582</c:v>
                </c:pt>
                <c:pt idx="23">
                  <c:v>45.912828015098185</c:v>
                </c:pt>
                <c:pt idx="24">
                  <c:v>45.879487047077845</c:v>
                </c:pt>
                <c:pt idx="25">
                  <c:v>45.827522748732875</c:v>
                </c:pt>
                <c:pt idx="26">
                  <c:v>45.870334563071054</c:v>
                </c:pt>
                <c:pt idx="27">
                  <c:v>45.724058968167896</c:v>
                </c:pt>
                <c:pt idx="28">
                  <c:v>45.796415238696156</c:v>
                </c:pt>
                <c:pt idx="29">
                  <c:v>45.801769186961089</c:v>
                </c:pt>
                <c:pt idx="30">
                  <c:v>45.845287976863951</c:v>
                </c:pt>
                <c:pt idx="31">
                  <c:v>45.802000251429256</c:v>
                </c:pt>
                <c:pt idx="32">
                  <c:v>45.663843012862046</c:v>
                </c:pt>
                <c:pt idx="33">
                  <c:v>45.563428947355924</c:v>
                </c:pt>
                <c:pt idx="34">
                  <c:v>45.640044704314604</c:v>
                </c:pt>
                <c:pt idx="35">
                  <c:v>45.791879817462238</c:v>
                </c:pt>
                <c:pt idx="36">
                  <c:v>45.853293066489513</c:v>
                </c:pt>
                <c:pt idx="37">
                  <c:v>45.99633255956735</c:v>
                </c:pt>
                <c:pt idx="38">
                  <c:v>45.896287518047842</c:v>
                </c:pt>
                <c:pt idx="39">
                  <c:v>45.689942564091318</c:v>
                </c:pt>
                <c:pt idx="40">
                  <c:v>45.642506712239609</c:v>
                </c:pt>
                <c:pt idx="41">
                  <c:v>45.847339820660785</c:v>
                </c:pt>
                <c:pt idx="42">
                  <c:v>45.626727635181432</c:v>
                </c:pt>
                <c:pt idx="43">
                  <c:v>45.048294649859457</c:v>
                </c:pt>
                <c:pt idx="44">
                  <c:v>45.557627402725522</c:v>
                </c:pt>
                <c:pt idx="45">
                  <c:v>46.851310050179698</c:v>
                </c:pt>
                <c:pt idx="46">
                  <c:v>46.228882471231316</c:v>
                </c:pt>
                <c:pt idx="47">
                  <c:v>46.460247239628487</c:v>
                </c:pt>
                <c:pt idx="48">
                  <c:v>48.624765191734049</c:v>
                </c:pt>
                <c:pt idx="49">
                  <c:v>50.140878040224713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93-4F43-87D4-B824A54AEF8C}"/>
            </c:ext>
          </c:extLst>
        </c:ser>
        <c:ser>
          <c:idx val="9"/>
          <c:order val="6"/>
          <c:tx>
            <c:strRef>
              <c:f>'Working Worksheet'!$J$1</c:f>
              <c:strCache>
                <c:ptCount val="1"/>
                <c:pt idx="0">
                  <c:v>I Bar - 2Sigma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'Working Worksheet'!$J$2:$J$51</c:f>
              <c:numCache>
                <c:formatCode>0</c:formatCode>
                <c:ptCount val="50"/>
                <c:pt idx="0">
                  <c:v>40.087101030842675</c:v>
                </c:pt>
                <c:pt idx="1">
                  <c:v>39.917875821491201</c:v>
                </c:pt>
                <c:pt idx="2">
                  <c:v>39.932073512741681</c:v>
                </c:pt>
                <c:pt idx="3">
                  <c:v>39.740360511168873</c:v>
                </c:pt>
                <c:pt idx="4">
                  <c:v>39.940717222822485</c:v>
                </c:pt>
                <c:pt idx="5">
                  <c:v>39.806960662539403</c:v>
                </c:pt>
                <c:pt idx="6">
                  <c:v>40.098850427349703</c:v>
                </c:pt>
                <c:pt idx="7">
                  <c:v>40.578491797359391</c:v>
                </c:pt>
                <c:pt idx="8">
                  <c:v>40.436289445581679</c:v>
                </c:pt>
                <c:pt idx="9">
                  <c:v>40.39601326256745</c:v>
                </c:pt>
                <c:pt idx="10">
                  <c:v>40.321310773267072</c:v>
                </c:pt>
                <c:pt idx="11">
                  <c:v>40.316827684821547</c:v>
                </c:pt>
                <c:pt idx="12">
                  <c:v>40.080523980777031</c:v>
                </c:pt>
                <c:pt idx="13">
                  <c:v>39.926578950221916</c:v>
                </c:pt>
                <c:pt idx="14">
                  <c:v>40.443390269369942</c:v>
                </c:pt>
                <c:pt idx="15">
                  <c:v>40.963332648538454</c:v>
                </c:pt>
                <c:pt idx="16">
                  <c:v>40.779266468133969</c:v>
                </c:pt>
                <c:pt idx="17">
                  <c:v>40.602732010323301</c:v>
                </c:pt>
                <c:pt idx="18">
                  <c:v>40.446627001330128</c:v>
                </c:pt>
                <c:pt idx="19">
                  <c:v>40.745850705453421</c:v>
                </c:pt>
                <c:pt idx="20">
                  <c:v>41.017119403013226</c:v>
                </c:pt>
                <c:pt idx="21">
                  <c:v>41.22741090121005</c:v>
                </c:pt>
                <c:pt idx="22">
                  <c:v>41.756282724176444</c:v>
                </c:pt>
                <c:pt idx="23">
                  <c:v>41.684777989971657</c:v>
                </c:pt>
                <c:pt idx="24">
                  <c:v>41.618096053930984</c:v>
                </c:pt>
                <c:pt idx="25">
                  <c:v>41.514167457241037</c:v>
                </c:pt>
                <c:pt idx="26">
                  <c:v>41.599791085917403</c:v>
                </c:pt>
                <c:pt idx="27">
                  <c:v>41.307239896111085</c:v>
                </c:pt>
                <c:pt idx="28">
                  <c:v>41.451952437167598</c:v>
                </c:pt>
                <c:pt idx="29">
                  <c:v>41.462660333697457</c:v>
                </c:pt>
                <c:pt idx="30">
                  <c:v>41.549697913503195</c:v>
                </c:pt>
                <c:pt idx="31">
                  <c:v>41.463122462633805</c:v>
                </c:pt>
                <c:pt idx="32">
                  <c:v>41.186807985499385</c:v>
                </c:pt>
                <c:pt idx="33">
                  <c:v>40.985979854487134</c:v>
                </c:pt>
                <c:pt idx="34">
                  <c:v>41.139211368404496</c:v>
                </c:pt>
                <c:pt idx="35">
                  <c:v>41.44288159469977</c:v>
                </c:pt>
                <c:pt idx="36">
                  <c:v>41.565708092754306</c:v>
                </c:pt>
                <c:pt idx="37">
                  <c:v>41.851787078909993</c:v>
                </c:pt>
                <c:pt idx="38">
                  <c:v>41.651696995870978</c:v>
                </c:pt>
                <c:pt idx="39">
                  <c:v>41.23900708795793</c:v>
                </c:pt>
                <c:pt idx="40">
                  <c:v>41.144135384254497</c:v>
                </c:pt>
                <c:pt idx="41">
                  <c:v>41.553801601096851</c:v>
                </c:pt>
                <c:pt idx="42">
                  <c:v>41.11257723013815</c:v>
                </c:pt>
                <c:pt idx="43">
                  <c:v>39.955711259494208</c:v>
                </c:pt>
                <c:pt idx="44">
                  <c:v>40.974376765226324</c:v>
                </c:pt>
                <c:pt idx="45">
                  <c:v>43.561742060134684</c:v>
                </c:pt>
                <c:pt idx="46">
                  <c:v>42.316886902237911</c:v>
                </c:pt>
                <c:pt idx="47">
                  <c:v>42.779616439032253</c:v>
                </c:pt>
                <c:pt idx="48">
                  <c:v>47.108652343243378</c:v>
                </c:pt>
                <c:pt idx="49">
                  <c:v>50.140878040224713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93-4F43-87D4-B824A54AEF8C}"/>
            </c:ext>
          </c:extLst>
        </c:ser>
        <c:ser>
          <c:idx val="10"/>
          <c:order val="7"/>
          <c:tx>
            <c:strRef>
              <c:f>'Working Worksheet'!$K$1</c:f>
              <c:strCache>
                <c:ptCount val="1"/>
                <c:pt idx="0">
                  <c:v>I Bar - 3Sigma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'Working Worksheet'!$K$2:$K$51</c:f>
              <c:numCache>
                <c:formatCode>0</c:formatCode>
                <c:ptCount val="50"/>
                <c:pt idx="0">
                  <c:v>35.060212526151652</c:v>
                </c:pt>
                <c:pt idx="1">
                  <c:v>34.806374712124452</c:v>
                </c:pt>
                <c:pt idx="2">
                  <c:v>34.827671249000169</c:v>
                </c:pt>
                <c:pt idx="3">
                  <c:v>34.540101746640957</c:v>
                </c:pt>
                <c:pt idx="4">
                  <c:v>34.840636814121368</c:v>
                </c:pt>
                <c:pt idx="5">
                  <c:v>34.640001973696741</c:v>
                </c:pt>
                <c:pt idx="6">
                  <c:v>35.077836620912194</c:v>
                </c:pt>
                <c:pt idx="7">
                  <c:v>35.797298675926726</c:v>
                </c:pt>
                <c:pt idx="8">
                  <c:v>35.583995148260165</c:v>
                </c:pt>
                <c:pt idx="9">
                  <c:v>35.523580873738815</c:v>
                </c:pt>
                <c:pt idx="10">
                  <c:v>35.411527139788248</c:v>
                </c:pt>
                <c:pt idx="11">
                  <c:v>35.40480250711996</c:v>
                </c:pt>
                <c:pt idx="12">
                  <c:v>35.050346951053193</c:v>
                </c:pt>
                <c:pt idx="13">
                  <c:v>34.819429405220518</c:v>
                </c:pt>
                <c:pt idx="14">
                  <c:v>35.594646383942553</c:v>
                </c:pt>
                <c:pt idx="15">
                  <c:v>36.374559952695328</c:v>
                </c:pt>
                <c:pt idx="16">
                  <c:v>36.0984606820886</c:v>
                </c:pt>
                <c:pt idx="17">
                  <c:v>35.833658995372588</c:v>
                </c:pt>
                <c:pt idx="18">
                  <c:v>35.599501481882839</c:v>
                </c:pt>
                <c:pt idx="19">
                  <c:v>36.048337038067771</c:v>
                </c:pt>
                <c:pt idx="20">
                  <c:v>36.455240084407478</c:v>
                </c:pt>
                <c:pt idx="21">
                  <c:v>36.770677331702714</c:v>
                </c:pt>
                <c:pt idx="22">
                  <c:v>37.563985066152313</c:v>
                </c:pt>
                <c:pt idx="23">
                  <c:v>37.456727964845129</c:v>
                </c:pt>
                <c:pt idx="24">
                  <c:v>37.356705060784122</c:v>
                </c:pt>
                <c:pt idx="25">
                  <c:v>37.200812165749198</c:v>
                </c:pt>
                <c:pt idx="26">
                  <c:v>37.329247608763744</c:v>
                </c:pt>
                <c:pt idx="27">
                  <c:v>36.890420824054274</c:v>
                </c:pt>
                <c:pt idx="28">
                  <c:v>37.107489635639041</c:v>
                </c:pt>
                <c:pt idx="29">
                  <c:v>37.123551480433832</c:v>
                </c:pt>
                <c:pt idx="30">
                  <c:v>37.254107850142432</c:v>
                </c:pt>
                <c:pt idx="31">
                  <c:v>37.124244673838348</c:v>
                </c:pt>
                <c:pt idx="32">
                  <c:v>36.709772958136725</c:v>
                </c:pt>
                <c:pt idx="33">
                  <c:v>36.408530761618337</c:v>
                </c:pt>
                <c:pt idx="34">
                  <c:v>36.638378032494387</c:v>
                </c:pt>
                <c:pt idx="35">
                  <c:v>37.093883371937295</c:v>
                </c:pt>
                <c:pt idx="36">
                  <c:v>37.278123119019099</c:v>
                </c:pt>
                <c:pt idx="37">
                  <c:v>37.707241598252629</c:v>
                </c:pt>
                <c:pt idx="38">
                  <c:v>37.407106473694107</c:v>
                </c:pt>
                <c:pt idx="39">
                  <c:v>36.788071611824535</c:v>
                </c:pt>
                <c:pt idx="40">
                  <c:v>36.645764056269385</c:v>
                </c:pt>
                <c:pt idx="41">
                  <c:v>37.260263381532923</c:v>
                </c:pt>
                <c:pt idx="42">
                  <c:v>36.598426825094862</c:v>
                </c:pt>
                <c:pt idx="43">
                  <c:v>34.863127869128959</c:v>
                </c:pt>
                <c:pt idx="44">
                  <c:v>36.391126127727134</c:v>
                </c:pt>
                <c:pt idx="45">
                  <c:v>40.272174070089662</c:v>
                </c:pt>
                <c:pt idx="46">
                  <c:v>38.404891333244514</c:v>
                </c:pt>
                <c:pt idx="47">
                  <c:v>39.098985638436027</c:v>
                </c:pt>
                <c:pt idx="48">
                  <c:v>45.592539494752714</c:v>
                </c:pt>
                <c:pt idx="49">
                  <c:v>50.140878040224713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93-4F43-87D4-B824A54AE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43264"/>
        <c:axId val="1921357280"/>
      </c:lineChart>
      <c:catAx>
        <c:axId val="2131443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357280"/>
        <c:crosses val="autoZero"/>
        <c:auto val="1"/>
        <c:lblAlgn val="ctr"/>
        <c:lblOffset val="100"/>
        <c:noMultiLvlLbl val="0"/>
      </c:catAx>
      <c:valAx>
        <c:axId val="192135728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4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Moving Range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023608742851871E-2"/>
          <c:y val="0.11381663373695489"/>
          <c:w val="0.94452646175011679"/>
          <c:h val="0.74479976745832477"/>
        </c:manualLayout>
      </c:layout>
      <c:lineChart>
        <c:grouping val="standard"/>
        <c:varyColors val="0"/>
        <c:ser>
          <c:idx val="2"/>
          <c:order val="0"/>
          <c:tx>
            <c:strRef>
              <c:f>'Working Worksheet'!$C$1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'Working Worksheet'!$C$2:$C$51</c:f>
              <c:numCache>
                <c:formatCode>0</c:formatCode>
                <c:ptCount val="50"/>
                <c:pt idx="0">
                  <c:v>0.99362234765436597</c:v>
                </c:pt>
                <c:pt idx="1">
                  <c:v>6.1501331488987034</c:v>
                </c:pt>
                <c:pt idx="2">
                  <c:v>0.67583750780831764</c:v>
                </c:pt>
                <c:pt idx="3">
                  <c:v>11.063946413528811</c:v>
                </c:pt>
                <c:pt idx="4">
                  <c:v>2.3581492010302156</c:v>
                </c:pt>
                <c:pt idx="5">
                  <c:v>13.071865804546917</c:v>
                </c:pt>
                <c:pt idx="6">
                  <c:v>17.295966079136413</c:v>
                </c:pt>
                <c:pt idx="7">
                  <c:v>2.0246965320657537</c:v>
                </c:pt>
                <c:pt idx="8">
                  <c:v>4.5420415113575103</c:v>
                </c:pt>
                <c:pt idx="9">
                  <c:v>3.8108155759821614</c:v>
                </c:pt>
                <c:pt idx="10">
                  <c:v>5.4396259251164096</c:v>
                </c:pt>
                <c:pt idx="11">
                  <c:v>0.4763034153653507</c:v>
                </c:pt>
                <c:pt idx="12">
                  <c:v>2.4615147919043991</c:v>
                </c:pt>
                <c:pt idx="13">
                  <c:v>16.254201710742933</c:v>
                </c:pt>
                <c:pt idx="14">
                  <c:v>15.733045667548652</c:v>
                </c:pt>
                <c:pt idx="15">
                  <c:v>1.6464825254746174</c:v>
                </c:pt>
                <c:pt idx="16">
                  <c:v>1.9942895978870041</c:v>
                </c:pt>
                <c:pt idx="17">
                  <c:v>2.5621311585556725</c:v>
                </c:pt>
                <c:pt idx="18">
                  <c:v>10.699184828828017</c:v>
                </c:pt>
                <c:pt idx="19">
                  <c:v>9.8886617795228986</c:v>
                </c:pt>
                <c:pt idx="20">
                  <c:v>8.585327615894613</c:v>
                </c:pt>
                <c:pt idx="21">
                  <c:v>13.379139294689601</c:v>
                </c:pt>
                <c:pt idx="22">
                  <c:v>3.6400376657806603</c:v>
                </c:pt>
                <c:pt idx="23">
                  <c:v>3.7914165182423005</c:v>
                </c:pt>
                <c:pt idx="24">
                  <c:v>3.3414558269413916</c:v>
                </c:pt>
                <c:pt idx="25">
                  <c:v>6.024466206566089</c:v>
                </c:pt>
                <c:pt idx="26">
                  <c:v>1.0221990080617687</c:v>
                </c:pt>
                <c:pt idx="27">
                  <c:v>6.7777651227093401</c:v>
                </c:pt>
                <c:pt idx="28">
                  <c:v>5.0273783666238856</c:v>
                </c:pt>
                <c:pt idx="29">
                  <c:v>5.8762986866900349</c:v>
                </c:pt>
                <c:pt idx="30">
                  <c:v>3.9176830599545482</c:v>
                </c:pt>
                <c:pt idx="31">
                  <c:v>2.0891095738926637</c:v>
                </c:pt>
                <c:pt idx="32">
                  <c:v>3.1245553907195927</c:v>
                </c:pt>
                <c:pt idx="33">
                  <c:v>6.546123758346269</c:v>
                </c:pt>
                <c:pt idx="34">
                  <c:v>7.6459901173646259</c:v>
                </c:pt>
                <c:pt idx="35">
                  <c:v>5.8755080239146977</c:v>
                </c:pt>
                <c:pt idx="36">
                  <c:v>6.9339269768668075</c:v>
                </c:pt>
                <c:pt idx="37">
                  <c:v>3.3208376201734282</c:v>
                </c:pt>
                <c:pt idx="38">
                  <c:v>2.2275699203229493</c:v>
                </c:pt>
                <c:pt idx="39">
                  <c:v>4.4855788081911285</c:v>
                </c:pt>
                <c:pt idx="40">
                  <c:v>7.1536285746590096</c:v>
                </c:pt>
                <c:pt idx="41">
                  <c:v>2.8523067499024322</c:v>
                </c:pt>
                <c:pt idx="42">
                  <c:v>0.52465480478655024</c:v>
                </c:pt>
                <c:pt idx="43">
                  <c:v>9.1915981357294925</c:v>
                </c:pt>
                <c:pt idx="44">
                  <c:v>12.466276850740648</c:v>
                </c:pt>
                <c:pt idx="45">
                  <c:v>0.9022394565556624</c:v>
                </c:pt>
                <c:pt idx="46">
                  <c:v>5.1956693780805878</c:v>
                </c:pt>
                <c:pt idx="47">
                  <c:v>9.0349040430226921</c:v>
                </c:pt>
                <c:pt idx="48">
                  <c:v>3.4203505861949424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7C-4878-B801-3CC5EB9DDCD9}"/>
            </c:ext>
          </c:extLst>
        </c:ser>
        <c:ser>
          <c:idx val="3"/>
          <c:order val="1"/>
          <c:tx>
            <c:strRef>
              <c:f>'Working Worksheet'!$D$1</c:f>
              <c:strCache>
                <c:ptCount val="1"/>
                <c:pt idx="0">
                  <c:v>MR Bar</c:v>
                </c:pt>
              </c:strCache>
            </c:strRef>
          </c:tx>
          <c:spPr>
            <a:ln w="22225" cap="rnd">
              <a:solidFill>
                <a:schemeClr val="tx2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'Working Worksheet'!$D$2:$D$51</c:f>
              <c:numCache>
                <c:formatCode>0</c:formatCode>
                <c:ptCount val="50"/>
                <c:pt idx="0">
                  <c:v>5.6703302332914713</c:v>
                </c:pt>
                <c:pt idx="1">
                  <c:v>5.7657732513656992</c:v>
                </c:pt>
                <c:pt idx="2">
                  <c:v>5.7577657535004283</c:v>
                </c:pt>
                <c:pt idx="3">
                  <c:v>5.8658918863874918</c:v>
                </c:pt>
                <c:pt idx="4">
                  <c:v>5.7528907010148558</c:v>
                </c:pt>
                <c:pt idx="5">
                  <c:v>5.828329401014515</c:v>
                </c:pt>
                <c:pt idx="6">
                  <c:v>5.6637035736615067</c:v>
                </c:pt>
                <c:pt idx="7">
                  <c:v>5.3931858409760434</c:v>
                </c:pt>
                <c:pt idx="8">
                  <c:v>5.4733879673786685</c:v>
                </c:pt>
                <c:pt idx="9">
                  <c:v>5.4961037345986981</c:v>
                </c:pt>
                <c:pt idx="10">
                  <c:v>5.5382359385641111</c:v>
                </c:pt>
                <c:pt idx="11">
                  <c:v>5.5407644004473857</c:v>
                </c:pt>
                <c:pt idx="12">
                  <c:v>5.6740396895284917</c:v>
                </c:pt>
                <c:pt idx="13">
                  <c:v>5.7608646867615763</c:v>
                </c:pt>
                <c:pt idx="14">
                  <c:v>5.4693831027620927</c:v>
                </c:pt>
                <c:pt idx="15">
                  <c:v>5.1761356009110484</c:v>
                </c:pt>
                <c:pt idx="16">
                  <c:v>5.2799489266591797</c:v>
                </c:pt>
                <c:pt idx="17">
                  <c:v>5.3795143608643965</c:v>
                </c:pt>
                <c:pt idx="18">
                  <c:v>5.4675575859365431</c:v>
                </c:pt>
                <c:pt idx="19">
                  <c:v>5.2987954168110107</c:v>
                </c:pt>
                <c:pt idx="20">
                  <c:v>5.1457998713872808</c:v>
                </c:pt>
                <c:pt idx="21">
                  <c:v>5.0271954664042706</c:v>
                </c:pt>
                <c:pt idx="22">
                  <c:v>4.728911758251221</c:v>
                </c:pt>
                <c:pt idx="23">
                  <c:v>4.769240428342723</c:v>
                </c:pt>
                <c:pt idx="24">
                  <c:v>4.8068490402696629</c:v>
                </c:pt>
                <c:pt idx="25">
                  <c:v>4.8654647688027941</c:v>
                </c:pt>
                <c:pt idx="26">
                  <c:v>4.8171730422293235</c:v>
                </c:pt>
                <c:pt idx="27">
                  <c:v>4.9821719132800864</c:v>
                </c:pt>
                <c:pt idx="28">
                  <c:v>4.900554040124212</c:v>
                </c:pt>
                <c:pt idx="29">
                  <c:v>4.8945147864813707</c:v>
                </c:pt>
                <c:pt idx="30">
                  <c:v>4.8454255914709368</c:v>
                </c:pt>
                <c:pt idx="31">
                  <c:v>4.8942541457612734</c:v>
                </c:pt>
                <c:pt idx="32">
                  <c:v>5.0500955108650842</c:v>
                </c:pt>
                <c:pt idx="33">
                  <c:v>5.1633625767559952</c:v>
                </c:pt>
                <c:pt idx="34">
                  <c:v>5.0769400029066034</c:v>
                </c:pt>
                <c:pt idx="35">
                  <c:v>4.9056699952760683</c:v>
                </c:pt>
                <c:pt idx="36">
                  <c:v>4.8363958503733091</c:v>
                </c:pt>
                <c:pt idx="37">
                  <c:v>4.6750473021815022</c:v>
                </c:pt>
                <c:pt idx="38">
                  <c:v>4.7878981090155079</c:v>
                </c:pt>
                <c:pt idx="39">
                  <c:v>5.0206552170784677</c:v>
                </c:pt>
                <c:pt idx="40">
                  <c:v>5.0741628579672016</c:v>
                </c:pt>
                <c:pt idx="41">
                  <c:v>4.8431111116681116</c:v>
                </c:pt>
                <c:pt idx="42">
                  <c:v>5.091961656888822</c:v>
                </c:pt>
                <c:pt idx="43">
                  <c:v>5.7444340643320038</c:v>
                </c:pt>
                <c:pt idx="44">
                  <c:v>5.1699067190990888</c:v>
                </c:pt>
                <c:pt idx="45">
                  <c:v>3.7106326927707771</c:v>
                </c:pt>
                <c:pt idx="46">
                  <c:v>4.4127310018245556</c:v>
                </c:pt>
                <c:pt idx="47">
                  <c:v>4.1517515430725451</c:v>
                </c:pt>
                <c:pt idx="48">
                  <c:v>1.7101752930974712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7C-4878-B801-3CC5EB9DDCD9}"/>
            </c:ext>
          </c:extLst>
        </c:ser>
        <c:ser>
          <c:idx val="11"/>
          <c:order val="2"/>
          <c:tx>
            <c:strRef>
              <c:f>'Working Worksheet'!$L$1</c:f>
              <c:strCache>
                <c:ptCount val="1"/>
                <c:pt idx="0">
                  <c:v>MR UCL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'Working Worksheet'!$L$2:$L$51</c:f>
              <c:numCache>
                <c:formatCode>0</c:formatCode>
                <c:ptCount val="50"/>
                <c:pt idx="0">
                  <c:v>18.524968872163235</c:v>
                </c:pt>
                <c:pt idx="1">
                  <c:v>18.83678121221174</c:v>
                </c:pt>
                <c:pt idx="2">
                  <c:v>18.8106207166859</c:v>
                </c:pt>
                <c:pt idx="3">
                  <c:v>19.163868792827934</c:v>
                </c:pt>
                <c:pt idx="4">
                  <c:v>18.794693920215533</c:v>
                </c:pt>
                <c:pt idx="5">
                  <c:v>19.041152153114421</c:v>
                </c:pt>
                <c:pt idx="6">
                  <c:v>18.50331957515214</c:v>
                </c:pt>
                <c:pt idx="7">
                  <c:v>17.619538142468734</c:v>
                </c:pt>
                <c:pt idx="8">
                  <c:v>17.881558489426109</c:v>
                </c:pt>
                <c:pt idx="9">
                  <c:v>17.955770900933945</c:v>
                </c:pt>
                <c:pt idx="10">
                  <c:v>18.09341681128895</c:v>
                </c:pt>
                <c:pt idx="11">
                  <c:v>18.101677296261609</c:v>
                </c:pt>
                <c:pt idx="12">
                  <c:v>18.537087665689583</c:v>
                </c:pt>
                <c:pt idx="13">
                  <c:v>18.820744931650069</c:v>
                </c:pt>
                <c:pt idx="14">
                  <c:v>17.868474596723757</c:v>
                </c:pt>
                <c:pt idx="15">
                  <c:v>16.910435008176396</c:v>
                </c:pt>
                <c:pt idx="16">
                  <c:v>17.24959314339554</c:v>
                </c:pt>
                <c:pt idx="17">
                  <c:v>17.574873416943984</c:v>
                </c:pt>
                <c:pt idx="18">
                  <c:v>17.862510633254686</c:v>
                </c:pt>
                <c:pt idx="19">
                  <c:v>17.31116462672157</c:v>
                </c:pt>
                <c:pt idx="20">
                  <c:v>16.811328179822247</c:v>
                </c:pt>
                <c:pt idx="21">
                  <c:v>16.423847588742753</c:v>
                </c:pt>
                <c:pt idx="22">
                  <c:v>15.449354714206738</c:v>
                </c:pt>
                <c:pt idx="23">
                  <c:v>15.581108479395676</c:v>
                </c:pt>
                <c:pt idx="24">
                  <c:v>15.703975814560987</c:v>
                </c:pt>
                <c:pt idx="25">
                  <c:v>15.895473399678728</c:v>
                </c:pt>
                <c:pt idx="26">
                  <c:v>15.737704328963199</c:v>
                </c:pt>
                <c:pt idx="27">
                  <c:v>16.276755640686041</c:v>
                </c:pt>
                <c:pt idx="28">
                  <c:v>16.010110049085799</c:v>
                </c:pt>
                <c:pt idx="29">
                  <c:v>15.990379807434637</c:v>
                </c:pt>
                <c:pt idx="30">
                  <c:v>15.83000540733555</c:v>
                </c:pt>
                <c:pt idx="31">
                  <c:v>15.98952829420208</c:v>
                </c:pt>
                <c:pt idx="32">
                  <c:v>16.498662033996229</c:v>
                </c:pt>
                <c:pt idx="33">
                  <c:v>16.868705538261835</c:v>
                </c:pt>
                <c:pt idx="34">
                  <c:v>16.586362989495871</c:v>
                </c:pt>
                <c:pt idx="35">
                  <c:v>16.026823874566915</c:v>
                </c:pt>
                <c:pt idx="36">
                  <c:v>15.800505243169601</c:v>
                </c:pt>
                <c:pt idx="37">
                  <c:v>15.273379536226967</c:v>
                </c:pt>
                <c:pt idx="38">
                  <c:v>15.642063122153663</c:v>
                </c:pt>
                <c:pt idx="39">
                  <c:v>16.402480594195353</c:v>
                </c:pt>
                <c:pt idx="40">
                  <c:v>16.577290056978846</c:v>
                </c:pt>
                <c:pt idx="41">
                  <c:v>15.82244400181972</c:v>
                </c:pt>
                <c:pt idx="42">
                  <c:v>16.635438733055782</c:v>
                </c:pt>
                <c:pt idx="43">
                  <c:v>18.767066088172655</c:v>
                </c:pt>
                <c:pt idx="44">
                  <c:v>16.890085251296721</c:v>
                </c:pt>
                <c:pt idx="45">
                  <c:v>12.122637007282128</c:v>
                </c:pt>
                <c:pt idx="46">
                  <c:v>14.416392182960823</c:v>
                </c:pt>
                <c:pt idx="47">
                  <c:v>13.563772291218005</c:v>
                </c:pt>
                <c:pt idx="48">
                  <c:v>5.5871426825494384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7C-4878-B801-3CC5EB9DDCD9}"/>
            </c:ext>
          </c:extLst>
        </c:ser>
        <c:ser>
          <c:idx val="12"/>
          <c:order val="3"/>
          <c:tx>
            <c:strRef>
              <c:f>'Working Worksheet'!$M$1</c:f>
              <c:strCache>
                <c:ptCount val="1"/>
                <c:pt idx="0">
                  <c:v>MR LCL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'Working Worksheet'!$M$2:$M$51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7C-4878-B801-3CC5EB9DD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19472"/>
        <c:axId val="2038921424"/>
      </c:lineChart>
      <c:catAx>
        <c:axId val="95119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921424"/>
        <c:crosses val="autoZero"/>
        <c:auto val="1"/>
        <c:lblAlgn val="ctr"/>
        <c:lblOffset val="100"/>
        <c:noMultiLvlLbl val="0"/>
      </c:catAx>
      <c:valAx>
        <c:axId val="20389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Individuals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'Completed Worksheet'!$A$1</c:f>
              <c:strCache>
                <c:ptCount val="1"/>
                <c:pt idx="0">
                  <c:v>I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'Completed Worksheet'!$A$2:$A$51</c:f>
              <c:numCache>
                <c:formatCode>0</c:formatCode>
                <c:ptCount val="50"/>
                <c:pt idx="0">
                  <c:v>49.594044012659573</c:v>
                </c:pt>
                <c:pt idx="1">
                  <c:v>50.587666360313939</c:v>
                </c:pt>
                <c:pt idx="2">
                  <c:v>44.437533211415236</c:v>
                </c:pt>
                <c:pt idx="3">
                  <c:v>45.113370719223553</c:v>
                </c:pt>
                <c:pt idx="4">
                  <c:v>56.177317132752364</c:v>
                </c:pt>
                <c:pt idx="5">
                  <c:v>53.819167931722149</c:v>
                </c:pt>
                <c:pt idx="6">
                  <c:v>66.891033736269065</c:v>
                </c:pt>
                <c:pt idx="7">
                  <c:v>49.595067657132653</c:v>
                </c:pt>
                <c:pt idx="8">
                  <c:v>47.570371125066899</c:v>
                </c:pt>
                <c:pt idx="9">
                  <c:v>52.112412636424409</c:v>
                </c:pt>
                <c:pt idx="10">
                  <c:v>48.301597060442248</c:v>
                </c:pt>
                <c:pt idx="11">
                  <c:v>53.741222985558657</c:v>
                </c:pt>
                <c:pt idx="12">
                  <c:v>54.217526400924008</c:v>
                </c:pt>
                <c:pt idx="13">
                  <c:v>51.756011609019609</c:v>
                </c:pt>
                <c:pt idx="14">
                  <c:v>35.501809898276676</c:v>
                </c:pt>
                <c:pt idx="15">
                  <c:v>51.234855565825328</c:v>
                </c:pt>
                <c:pt idx="16">
                  <c:v>49.58837304035071</c:v>
                </c:pt>
                <c:pt idx="17">
                  <c:v>47.594083442463706</c:v>
                </c:pt>
                <c:pt idx="18">
                  <c:v>45.031952283908034</c:v>
                </c:pt>
                <c:pt idx="19">
                  <c:v>55.73113711273605</c:v>
                </c:pt>
                <c:pt idx="20">
                  <c:v>45.842475333213152</c:v>
                </c:pt>
                <c:pt idx="21">
                  <c:v>37.257147717318539</c:v>
                </c:pt>
                <c:pt idx="22">
                  <c:v>50.63628701200814</c:v>
                </c:pt>
                <c:pt idx="23">
                  <c:v>46.996249346227479</c:v>
                </c:pt>
                <c:pt idx="24">
                  <c:v>50.78766586446978</c:v>
                </c:pt>
                <c:pt idx="25">
                  <c:v>47.446210037528388</c:v>
                </c:pt>
                <c:pt idx="26">
                  <c:v>53.470676244094477</c:v>
                </c:pt>
                <c:pt idx="27">
                  <c:v>54.492875252156246</c:v>
                </c:pt>
                <c:pt idx="28">
                  <c:v>47.715110129446906</c:v>
                </c:pt>
                <c:pt idx="29">
                  <c:v>52.742488496070791</c:v>
                </c:pt>
                <c:pt idx="30">
                  <c:v>46.866189809380757</c:v>
                </c:pt>
                <c:pt idx="31">
                  <c:v>50.783872869335305</c:v>
                </c:pt>
                <c:pt idx="32">
                  <c:v>48.694763295442641</c:v>
                </c:pt>
                <c:pt idx="33">
                  <c:v>51.819318686162234</c:v>
                </c:pt>
                <c:pt idx="34">
                  <c:v>45.273194927815965</c:v>
                </c:pt>
                <c:pt idx="35">
                  <c:v>52.919185045180591</c:v>
                </c:pt>
                <c:pt idx="36">
                  <c:v>58.794693069095288</c:v>
                </c:pt>
                <c:pt idx="37">
                  <c:v>51.860766092228481</c:v>
                </c:pt>
                <c:pt idx="38">
                  <c:v>55.181603712401909</c:v>
                </c:pt>
                <c:pt idx="39">
                  <c:v>52.95403379207896</c:v>
                </c:pt>
                <c:pt idx="40">
                  <c:v>48.468454983887831</c:v>
                </c:pt>
                <c:pt idx="41">
                  <c:v>55.622083558546841</c:v>
                </c:pt>
                <c:pt idx="42">
                  <c:v>52.769776808644409</c:v>
                </c:pt>
                <c:pt idx="43">
                  <c:v>52.245122003857858</c:v>
                </c:pt>
                <c:pt idx="44">
                  <c:v>43.053523868128366</c:v>
                </c:pt>
                <c:pt idx="45">
                  <c:v>55.519800718869014</c:v>
                </c:pt>
                <c:pt idx="46">
                  <c:v>54.617561262313352</c:v>
                </c:pt>
                <c:pt idx="47">
                  <c:v>49.421891884232764</c:v>
                </c:pt>
                <c:pt idx="48">
                  <c:v>40.386987841210072</c:v>
                </c:pt>
                <c:pt idx="49">
                  <c:v>43.807338427405014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5-40F8-A8A4-851A1726411B}"/>
            </c:ext>
          </c:extLst>
        </c:ser>
        <c:ser>
          <c:idx val="1"/>
          <c:order val="1"/>
          <c:tx>
            <c:strRef>
              <c:f>'Completed Worksheet'!$B$1</c:f>
              <c:strCache>
                <c:ptCount val="1"/>
                <c:pt idx="0">
                  <c:v>I Bar</c:v>
                </c:pt>
              </c:strCache>
            </c:strRef>
          </c:tx>
          <c:spPr>
            <a:ln w="22225" cap="rnd">
              <a:solidFill>
                <a:srgbClr val="002060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'Completed Worksheet'!$B$2:$B$51</c:f>
              <c:numCache>
                <c:formatCode>0</c:formatCode>
                <c:ptCount val="50"/>
                <c:pt idx="0">
                  <c:v>50.140878040224713</c:v>
                </c:pt>
                <c:pt idx="1">
                  <c:v>50.140878040224713</c:v>
                </c:pt>
                <c:pt idx="2">
                  <c:v>50.140878040224713</c:v>
                </c:pt>
                <c:pt idx="3">
                  <c:v>50.140878040224713</c:v>
                </c:pt>
                <c:pt idx="4">
                  <c:v>50.140878040224713</c:v>
                </c:pt>
                <c:pt idx="5">
                  <c:v>50.140878040224713</c:v>
                </c:pt>
                <c:pt idx="6">
                  <c:v>50.140878040224713</c:v>
                </c:pt>
                <c:pt idx="7">
                  <c:v>50.140878040224713</c:v>
                </c:pt>
                <c:pt idx="8">
                  <c:v>50.140878040224713</c:v>
                </c:pt>
                <c:pt idx="9">
                  <c:v>50.140878040224713</c:v>
                </c:pt>
                <c:pt idx="10">
                  <c:v>50.140878040224713</c:v>
                </c:pt>
                <c:pt idx="11">
                  <c:v>50.140878040224713</c:v>
                </c:pt>
                <c:pt idx="12">
                  <c:v>50.140878040224713</c:v>
                </c:pt>
                <c:pt idx="13">
                  <c:v>50.140878040224713</c:v>
                </c:pt>
                <c:pt idx="14">
                  <c:v>50.140878040224713</c:v>
                </c:pt>
                <c:pt idx="15">
                  <c:v>50.140878040224713</c:v>
                </c:pt>
                <c:pt idx="16">
                  <c:v>50.140878040224713</c:v>
                </c:pt>
                <c:pt idx="17">
                  <c:v>50.140878040224713</c:v>
                </c:pt>
                <c:pt idx="18">
                  <c:v>50.140878040224713</c:v>
                </c:pt>
                <c:pt idx="19">
                  <c:v>50.140878040224713</c:v>
                </c:pt>
                <c:pt idx="20">
                  <c:v>50.140878040224713</c:v>
                </c:pt>
                <c:pt idx="21">
                  <c:v>50.140878040224713</c:v>
                </c:pt>
                <c:pt idx="22">
                  <c:v>50.140878040224713</c:v>
                </c:pt>
                <c:pt idx="23">
                  <c:v>50.140878040224713</c:v>
                </c:pt>
                <c:pt idx="24">
                  <c:v>50.140878040224713</c:v>
                </c:pt>
                <c:pt idx="25">
                  <c:v>50.140878040224713</c:v>
                </c:pt>
                <c:pt idx="26">
                  <c:v>50.140878040224713</c:v>
                </c:pt>
                <c:pt idx="27">
                  <c:v>50.140878040224713</c:v>
                </c:pt>
                <c:pt idx="28">
                  <c:v>50.140878040224713</c:v>
                </c:pt>
                <c:pt idx="29">
                  <c:v>50.140878040224713</c:v>
                </c:pt>
                <c:pt idx="30">
                  <c:v>50.140878040224713</c:v>
                </c:pt>
                <c:pt idx="31">
                  <c:v>50.140878040224713</c:v>
                </c:pt>
                <c:pt idx="32">
                  <c:v>50.140878040224713</c:v>
                </c:pt>
                <c:pt idx="33">
                  <c:v>50.140878040224713</c:v>
                </c:pt>
                <c:pt idx="34">
                  <c:v>50.140878040224713</c:v>
                </c:pt>
                <c:pt idx="35">
                  <c:v>50.140878040224713</c:v>
                </c:pt>
                <c:pt idx="36">
                  <c:v>50.140878040224713</c:v>
                </c:pt>
                <c:pt idx="37">
                  <c:v>50.140878040224713</c:v>
                </c:pt>
                <c:pt idx="38">
                  <c:v>50.140878040224713</c:v>
                </c:pt>
                <c:pt idx="39">
                  <c:v>50.140878040224713</c:v>
                </c:pt>
                <c:pt idx="40">
                  <c:v>50.140878040224713</c:v>
                </c:pt>
                <c:pt idx="41">
                  <c:v>50.140878040224713</c:v>
                </c:pt>
                <c:pt idx="42">
                  <c:v>50.140878040224713</c:v>
                </c:pt>
                <c:pt idx="43">
                  <c:v>50.140878040224713</c:v>
                </c:pt>
                <c:pt idx="44">
                  <c:v>50.140878040224713</c:v>
                </c:pt>
                <c:pt idx="45">
                  <c:v>50.140878040224713</c:v>
                </c:pt>
                <c:pt idx="46">
                  <c:v>50.140878040224713</c:v>
                </c:pt>
                <c:pt idx="47">
                  <c:v>50.140878040224713</c:v>
                </c:pt>
                <c:pt idx="48">
                  <c:v>50.140878040224713</c:v>
                </c:pt>
                <c:pt idx="49">
                  <c:v>50.140878040224713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5-40F8-A8A4-851A1726411B}"/>
            </c:ext>
          </c:extLst>
        </c:ser>
        <c:ser>
          <c:idx val="5"/>
          <c:order val="2"/>
          <c:tx>
            <c:strRef>
              <c:f>'Completed Worksheet'!$F$1</c:f>
              <c:strCache>
                <c:ptCount val="1"/>
                <c:pt idx="0">
                  <c:v>I Bar + 1Sigma</c:v>
                </c:pt>
              </c:strCache>
            </c:strRef>
          </c:tx>
          <c:spPr>
            <a:ln w="952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'Completed Worksheet'!$F$2:$F$51</c:f>
              <c:numCache>
                <c:formatCode>0</c:formatCode>
                <c:ptCount val="50"/>
                <c:pt idx="0">
                  <c:v>55.167766544915736</c:v>
                </c:pt>
                <c:pt idx="1">
                  <c:v>55.167766544915736</c:v>
                </c:pt>
                <c:pt idx="2">
                  <c:v>55.167766544915736</c:v>
                </c:pt>
                <c:pt idx="3">
                  <c:v>55.167766544915736</c:v>
                </c:pt>
                <c:pt idx="4">
                  <c:v>55.167766544915736</c:v>
                </c:pt>
                <c:pt idx="5">
                  <c:v>55.167766544915736</c:v>
                </c:pt>
                <c:pt idx="6">
                  <c:v>55.167766544915736</c:v>
                </c:pt>
                <c:pt idx="7">
                  <c:v>55.167766544915736</c:v>
                </c:pt>
                <c:pt idx="8">
                  <c:v>55.167766544915736</c:v>
                </c:pt>
                <c:pt idx="9">
                  <c:v>55.167766544915736</c:v>
                </c:pt>
                <c:pt idx="10">
                  <c:v>55.167766544915736</c:v>
                </c:pt>
                <c:pt idx="11">
                  <c:v>55.167766544915736</c:v>
                </c:pt>
                <c:pt idx="12">
                  <c:v>55.167766544915736</c:v>
                </c:pt>
                <c:pt idx="13">
                  <c:v>55.167766544915736</c:v>
                </c:pt>
                <c:pt idx="14">
                  <c:v>55.167766544915736</c:v>
                </c:pt>
                <c:pt idx="15">
                  <c:v>55.167766544915736</c:v>
                </c:pt>
                <c:pt idx="16">
                  <c:v>55.167766544915736</c:v>
                </c:pt>
                <c:pt idx="17">
                  <c:v>55.167766544915736</c:v>
                </c:pt>
                <c:pt idx="18">
                  <c:v>55.167766544915736</c:v>
                </c:pt>
                <c:pt idx="19">
                  <c:v>55.167766544915736</c:v>
                </c:pt>
                <c:pt idx="20">
                  <c:v>55.167766544915736</c:v>
                </c:pt>
                <c:pt idx="21">
                  <c:v>55.167766544915736</c:v>
                </c:pt>
                <c:pt idx="22">
                  <c:v>55.167766544915736</c:v>
                </c:pt>
                <c:pt idx="23">
                  <c:v>55.167766544915736</c:v>
                </c:pt>
                <c:pt idx="24">
                  <c:v>55.167766544915736</c:v>
                </c:pt>
                <c:pt idx="25">
                  <c:v>55.167766544915736</c:v>
                </c:pt>
                <c:pt idx="26">
                  <c:v>55.167766544915736</c:v>
                </c:pt>
                <c:pt idx="27">
                  <c:v>55.167766544915736</c:v>
                </c:pt>
                <c:pt idx="28">
                  <c:v>55.167766544915736</c:v>
                </c:pt>
                <c:pt idx="29">
                  <c:v>55.167766544915736</c:v>
                </c:pt>
                <c:pt idx="30">
                  <c:v>55.167766544915736</c:v>
                </c:pt>
                <c:pt idx="31">
                  <c:v>55.167766544915736</c:v>
                </c:pt>
                <c:pt idx="32">
                  <c:v>55.167766544915736</c:v>
                </c:pt>
                <c:pt idx="33">
                  <c:v>55.167766544915736</c:v>
                </c:pt>
                <c:pt idx="34">
                  <c:v>55.167766544915736</c:v>
                </c:pt>
                <c:pt idx="35">
                  <c:v>55.167766544915736</c:v>
                </c:pt>
                <c:pt idx="36">
                  <c:v>55.167766544915736</c:v>
                </c:pt>
                <c:pt idx="37">
                  <c:v>55.167766544915736</c:v>
                </c:pt>
                <c:pt idx="38">
                  <c:v>55.167766544915736</c:v>
                </c:pt>
                <c:pt idx="39">
                  <c:v>55.167766544915736</c:v>
                </c:pt>
                <c:pt idx="40">
                  <c:v>55.167766544915736</c:v>
                </c:pt>
                <c:pt idx="41">
                  <c:v>55.167766544915736</c:v>
                </c:pt>
                <c:pt idx="42">
                  <c:v>55.167766544915736</c:v>
                </c:pt>
                <c:pt idx="43">
                  <c:v>55.167766544915736</c:v>
                </c:pt>
                <c:pt idx="44">
                  <c:v>55.167766544915736</c:v>
                </c:pt>
                <c:pt idx="45">
                  <c:v>55.167766544915736</c:v>
                </c:pt>
                <c:pt idx="46">
                  <c:v>55.167766544915736</c:v>
                </c:pt>
                <c:pt idx="47">
                  <c:v>55.167766544915736</c:v>
                </c:pt>
                <c:pt idx="48">
                  <c:v>55.167766544915736</c:v>
                </c:pt>
                <c:pt idx="49">
                  <c:v>55.167766544915736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E5-40F8-A8A4-851A1726411B}"/>
            </c:ext>
          </c:extLst>
        </c:ser>
        <c:ser>
          <c:idx val="6"/>
          <c:order val="3"/>
          <c:tx>
            <c:strRef>
              <c:f>'Completed Worksheet'!$G$1</c:f>
              <c:strCache>
                <c:ptCount val="1"/>
                <c:pt idx="0">
                  <c:v>I Bar + 2Sigma</c:v>
                </c:pt>
              </c:strCache>
            </c:strRef>
          </c:tx>
          <c:spPr>
            <a:ln w="952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'Completed Worksheet'!$G$2:$G$51</c:f>
              <c:numCache>
                <c:formatCode>0</c:formatCode>
                <c:ptCount val="50"/>
                <c:pt idx="0">
                  <c:v>60.194655049606752</c:v>
                </c:pt>
                <c:pt idx="1">
                  <c:v>60.194655049606752</c:v>
                </c:pt>
                <c:pt idx="2">
                  <c:v>60.194655049606752</c:v>
                </c:pt>
                <c:pt idx="3">
                  <c:v>60.194655049606752</c:v>
                </c:pt>
                <c:pt idx="4">
                  <c:v>60.194655049606752</c:v>
                </c:pt>
                <c:pt idx="5">
                  <c:v>60.194655049606752</c:v>
                </c:pt>
                <c:pt idx="6">
                  <c:v>60.194655049606752</c:v>
                </c:pt>
                <c:pt idx="7">
                  <c:v>60.194655049606752</c:v>
                </c:pt>
                <c:pt idx="8">
                  <c:v>60.194655049606752</c:v>
                </c:pt>
                <c:pt idx="9">
                  <c:v>60.194655049606752</c:v>
                </c:pt>
                <c:pt idx="10">
                  <c:v>60.194655049606752</c:v>
                </c:pt>
                <c:pt idx="11">
                  <c:v>60.194655049606752</c:v>
                </c:pt>
                <c:pt idx="12">
                  <c:v>60.194655049606752</c:v>
                </c:pt>
                <c:pt idx="13">
                  <c:v>60.194655049606752</c:v>
                </c:pt>
                <c:pt idx="14">
                  <c:v>60.194655049606752</c:v>
                </c:pt>
                <c:pt idx="15">
                  <c:v>60.194655049606752</c:v>
                </c:pt>
                <c:pt idx="16">
                  <c:v>60.194655049606752</c:v>
                </c:pt>
                <c:pt idx="17">
                  <c:v>60.194655049606752</c:v>
                </c:pt>
                <c:pt idx="18">
                  <c:v>60.194655049606752</c:v>
                </c:pt>
                <c:pt idx="19">
                  <c:v>60.194655049606752</c:v>
                </c:pt>
                <c:pt idx="20">
                  <c:v>60.194655049606752</c:v>
                </c:pt>
                <c:pt idx="21">
                  <c:v>60.194655049606752</c:v>
                </c:pt>
                <c:pt idx="22">
                  <c:v>60.194655049606752</c:v>
                </c:pt>
                <c:pt idx="23">
                  <c:v>60.194655049606752</c:v>
                </c:pt>
                <c:pt idx="24">
                  <c:v>60.194655049606752</c:v>
                </c:pt>
                <c:pt idx="25">
                  <c:v>60.194655049606752</c:v>
                </c:pt>
                <c:pt idx="26">
                  <c:v>60.194655049606752</c:v>
                </c:pt>
                <c:pt idx="27">
                  <c:v>60.194655049606752</c:v>
                </c:pt>
                <c:pt idx="28">
                  <c:v>60.194655049606752</c:v>
                </c:pt>
                <c:pt idx="29">
                  <c:v>60.194655049606752</c:v>
                </c:pt>
                <c:pt idx="30">
                  <c:v>60.194655049606752</c:v>
                </c:pt>
                <c:pt idx="31">
                  <c:v>60.194655049606752</c:v>
                </c:pt>
                <c:pt idx="32">
                  <c:v>60.194655049606752</c:v>
                </c:pt>
                <c:pt idx="33">
                  <c:v>60.194655049606752</c:v>
                </c:pt>
                <c:pt idx="34">
                  <c:v>60.194655049606752</c:v>
                </c:pt>
                <c:pt idx="35">
                  <c:v>60.194655049606752</c:v>
                </c:pt>
                <c:pt idx="36">
                  <c:v>60.194655049606752</c:v>
                </c:pt>
                <c:pt idx="37">
                  <c:v>60.194655049606752</c:v>
                </c:pt>
                <c:pt idx="38">
                  <c:v>60.194655049606752</c:v>
                </c:pt>
                <c:pt idx="39">
                  <c:v>60.194655049606752</c:v>
                </c:pt>
                <c:pt idx="40">
                  <c:v>60.194655049606752</c:v>
                </c:pt>
                <c:pt idx="41">
                  <c:v>60.194655049606752</c:v>
                </c:pt>
                <c:pt idx="42">
                  <c:v>60.194655049606752</c:v>
                </c:pt>
                <c:pt idx="43">
                  <c:v>60.194655049606752</c:v>
                </c:pt>
                <c:pt idx="44">
                  <c:v>60.194655049606752</c:v>
                </c:pt>
                <c:pt idx="45">
                  <c:v>60.194655049606752</c:v>
                </c:pt>
                <c:pt idx="46">
                  <c:v>60.194655049606752</c:v>
                </c:pt>
                <c:pt idx="47">
                  <c:v>60.194655049606752</c:v>
                </c:pt>
                <c:pt idx="48">
                  <c:v>60.194655049606752</c:v>
                </c:pt>
                <c:pt idx="49">
                  <c:v>60.194655049606752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E5-40F8-A8A4-851A1726411B}"/>
            </c:ext>
          </c:extLst>
        </c:ser>
        <c:ser>
          <c:idx val="7"/>
          <c:order val="4"/>
          <c:tx>
            <c:strRef>
              <c:f>'Completed Worksheet'!$H$1</c:f>
              <c:strCache>
                <c:ptCount val="1"/>
                <c:pt idx="0">
                  <c:v>I Bar + 3Sigma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23"/>
            <c:marker>
              <c:symbol val="none"/>
            </c:marker>
            <c:bubble3D val="0"/>
            <c:spPr>
              <a:ln w="22225" cap="rnd">
                <a:solidFill>
                  <a:srgbClr val="FF0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E5-40F8-A8A4-851A1726411B}"/>
              </c:ext>
            </c:extLst>
          </c:dPt>
          <c:dPt>
            <c:idx val="36"/>
            <c:marker>
              <c:symbol val="none"/>
            </c:marker>
            <c:bubble3D val="0"/>
            <c:spPr>
              <a:ln w="22225" cap="rnd">
                <a:solidFill>
                  <a:srgbClr val="FF000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E5-40F8-A8A4-851A1726411B}"/>
              </c:ext>
            </c:extLst>
          </c:dPt>
          <c:val>
            <c:numRef>
              <c:f>'Completed Worksheet'!$H$2:$H$51</c:f>
              <c:numCache>
                <c:formatCode>0</c:formatCode>
                <c:ptCount val="50"/>
                <c:pt idx="0">
                  <c:v>65.221543554297781</c:v>
                </c:pt>
                <c:pt idx="1">
                  <c:v>65.221543554297781</c:v>
                </c:pt>
                <c:pt idx="2">
                  <c:v>65.221543554297781</c:v>
                </c:pt>
                <c:pt idx="3">
                  <c:v>65.221543554297781</c:v>
                </c:pt>
                <c:pt idx="4">
                  <c:v>65.221543554297781</c:v>
                </c:pt>
                <c:pt idx="5">
                  <c:v>65.221543554297781</c:v>
                </c:pt>
                <c:pt idx="6">
                  <c:v>65.221543554297781</c:v>
                </c:pt>
                <c:pt idx="7">
                  <c:v>65.221543554297781</c:v>
                </c:pt>
                <c:pt idx="8">
                  <c:v>65.221543554297781</c:v>
                </c:pt>
                <c:pt idx="9">
                  <c:v>65.221543554297781</c:v>
                </c:pt>
                <c:pt idx="10">
                  <c:v>65.221543554297781</c:v>
                </c:pt>
                <c:pt idx="11">
                  <c:v>65.221543554297781</c:v>
                </c:pt>
                <c:pt idx="12">
                  <c:v>65.221543554297781</c:v>
                </c:pt>
                <c:pt idx="13">
                  <c:v>65.221543554297781</c:v>
                </c:pt>
                <c:pt idx="14">
                  <c:v>65.221543554297781</c:v>
                </c:pt>
                <c:pt idx="15">
                  <c:v>65.221543554297781</c:v>
                </c:pt>
                <c:pt idx="16">
                  <c:v>65.221543554297781</c:v>
                </c:pt>
                <c:pt idx="17">
                  <c:v>65.221543554297781</c:v>
                </c:pt>
                <c:pt idx="18">
                  <c:v>65.221543554297781</c:v>
                </c:pt>
                <c:pt idx="19">
                  <c:v>65.221543554297781</c:v>
                </c:pt>
                <c:pt idx="20">
                  <c:v>65.221543554297781</c:v>
                </c:pt>
                <c:pt idx="21">
                  <c:v>65.221543554297781</c:v>
                </c:pt>
                <c:pt idx="22">
                  <c:v>65.221543554297781</c:v>
                </c:pt>
                <c:pt idx="23">
                  <c:v>65.221543554297781</c:v>
                </c:pt>
                <c:pt idx="24">
                  <c:v>65.221543554297781</c:v>
                </c:pt>
                <c:pt idx="25">
                  <c:v>65.221543554297781</c:v>
                </c:pt>
                <c:pt idx="26">
                  <c:v>65.221543554297781</c:v>
                </c:pt>
                <c:pt idx="27">
                  <c:v>65.221543554297781</c:v>
                </c:pt>
                <c:pt idx="28">
                  <c:v>65.221543554297781</c:v>
                </c:pt>
                <c:pt idx="29">
                  <c:v>65.221543554297781</c:v>
                </c:pt>
                <c:pt idx="30">
                  <c:v>65.221543554297781</c:v>
                </c:pt>
                <c:pt idx="31">
                  <c:v>65.221543554297781</c:v>
                </c:pt>
                <c:pt idx="32">
                  <c:v>65.221543554297781</c:v>
                </c:pt>
                <c:pt idx="33">
                  <c:v>65.221543554297781</c:v>
                </c:pt>
                <c:pt idx="34">
                  <c:v>65.221543554297781</c:v>
                </c:pt>
                <c:pt idx="35">
                  <c:v>65.221543554297781</c:v>
                </c:pt>
                <c:pt idx="36">
                  <c:v>65.221543554297781</c:v>
                </c:pt>
                <c:pt idx="37">
                  <c:v>65.221543554297781</c:v>
                </c:pt>
                <c:pt idx="38">
                  <c:v>65.221543554297781</c:v>
                </c:pt>
                <c:pt idx="39">
                  <c:v>65.221543554297781</c:v>
                </c:pt>
                <c:pt idx="40">
                  <c:v>65.221543554297781</c:v>
                </c:pt>
                <c:pt idx="41">
                  <c:v>65.221543554297781</c:v>
                </c:pt>
                <c:pt idx="42">
                  <c:v>65.221543554297781</c:v>
                </c:pt>
                <c:pt idx="43">
                  <c:v>65.221543554297781</c:v>
                </c:pt>
                <c:pt idx="44">
                  <c:v>65.221543554297781</c:v>
                </c:pt>
                <c:pt idx="45">
                  <c:v>65.221543554297781</c:v>
                </c:pt>
                <c:pt idx="46">
                  <c:v>65.221543554297781</c:v>
                </c:pt>
                <c:pt idx="47">
                  <c:v>65.221543554297781</c:v>
                </c:pt>
                <c:pt idx="48">
                  <c:v>65.221543554297781</c:v>
                </c:pt>
                <c:pt idx="49">
                  <c:v>65.221543554297781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E5-40F8-A8A4-851A1726411B}"/>
            </c:ext>
          </c:extLst>
        </c:ser>
        <c:ser>
          <c:idx val="8"/>
          <c:order val="5"/>
          <c:tx>
            <c:strRef>
              <c:f>'Completed Worksheet'!$I$1</c:f>
              <c:strCache>
                <c:ptCount val="1"/>
                <c:pt idx="0">
                  <c:v>I Bar - 1Sigma</c:v>
                </c:pt>
              </c:strCache>
            </c:strRef>
          </c:tx>
          <c:spPr>
            <a:ln w="952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'Completed Worksheet'!$I$2:$I$51</c:f>
              <c:numCache>
                <c:formatCode>0</c:formatCode>
                <c:ptCount val="50"/>
                <c:pt idx="0">
                  <c:v>45.11398953553369</c:v>
                </c:pt>
                <c:pt idx="1">
                  <c:v>45.11398953553369</c:v>
                </c:pt>
                <c:pt idx="2">
                  <c:v>45.11398953553369</c:v>
                </c:pt>
                <c:pt idx="3">
                  <c:v>45.11398953553369</c:v>
                </c:pt>
                <c:pt idx="4">
                  <c:v>45.11398953553369</c:v>
                </c:pt>
                <c:pt idx="5">
                  <c:v>45.11398953553369</c:v>
                </c:pt>
                <c:pt idx="6">
                  <c:v>45.11398953553369</c:v>
                </c:pt>
                <c:pt idx="7">
                  <c:v>45.11398953553369</c:v>
                </c:pt>
                <c:pt idx="8">
                  <c:v>45.11398953553369</c:v>
                </c:pt>
                <c:pt idx="9">
                  <c:v>45.11398953553369</c:v>
                </c:pt>
                <c:pt idx="10">
                  <c:v>45.11398953553369</c:v>
                </c:pt>
                <c:pt idx="11">
                  <c:v>45.11398953553369</c:v>
                </c:pt>
                <c:pt idx="12">
                  <c:v>45.11398953553369</c:v>
                </c:pt>
                <c:pt idx="13">
                  <c:v>45.11398953553369</c:v>
                </c:pt>
                <c:pt idx="14">
                  <c:v>45.11398953553369</c:v>
                </c:pt>
                <c:pt idx="15">
                  <c:v>45.11398953553369</c:v>
                </c:pt>
                <c:pt idx="16">
                  <c:v>45.11398953553369</c:v>
                </c:pt>
                <c:pt idx="17">
                  <c:v>45.11398953553369</c:v>
                </c:pt>
                <c:pt idx="18">
                  <c:v>45.11398953553369</c:v>
                </c:pt>
                <c:pt idx="19">
                  <c:v>45.11398953553369</c:v>
                </c:pt>
                <c:pt idx="20">
                  <c:v>45.11398953553369</c:v>
                </c:pt>
                <c:pt idx="21">
                  <c:v>45.11398953553369</c:v>
                </c:pt>
                <c:pt idx="22">
                  <c:v>45.11398953553369</c:v>
                </c:pt>
                <c:pt idx="23">
                  <c:v>45.11398953553369</c:v>
                </c:pt>
                <c:pt idx="24">
                  <c:v>45.11398953553369</c:v>
                </c:pt>
                <c:pt idx="25">
                  <c:v>45.11398953553369</c:v>
                </c:pt>
                <c:pt idx="26">
                  <c:v>45.11398953553369</c:v>
                </c:pt>
                <c:pt idx="27">
                  <c:v>45.11398953553369</c:v>
                </c:pt>
                <c:pt idx="28">
                  <c:v>45.11398953553369</c:v>
                </c:pt>
                <c:pt idx="29">
                  <c:v>45.11398953553369</c:v>
                </c:pt>
                <c:pt idx="30">
                  <c:v>45.11398953553369</c:v>
                </c:pt>
                <c:pt idx="31">
                  <c:v>45.11398953553369</c:v>
                </c:pt>
                <c:pt idx="32">
                  <c:v>45.11398953553369</c:v>
                </c:pt>
                <c:pt idx="33">
                  <c:v>45.11398953553369</c:v>
                </c:pt>
                <c:pt idx="34">
                  <c:v>45.11398953553369</c:v>
                </c:pt>
                <c:pt idx="35">
                  <c:v>45.11398953553369</c:v>
                </c:pt>
                <c:pt idx="36">
                  <c:v>45.11398953553369</c:v>
                </c:pt>
                <c:pt idx="37">
                  <c:v>45.11398953553369</c:v>
                </c:pt>
                <c:pt idx="38">
                  <c:v>45.11398953553369</c:v>
                </c:pt>
                <c:pt idx="39">
                  <c:v>45.11398953553369</c:v>
                </c:pt>
                <c:pt idx="40">
                  <c:v>45.11398953553369</c:v>
                </c:pt>
                <c:pt idx="41">
                  <c:v>45.11398953553369</c:v>
                </c:pt>
                <c:pt idx="42">
                  <c:v>45.11398953553369</c:v>
                </c:pt>
                <c:pt idx="43">
                  <c:v>45.11398953553369</c:v>
                </c:pt>
                <c:pt idx="44">
                  <c:v>45.11398953553369</c:v>
                </c:pt>
                <c:pt idx="45">
                  <c:v>45.11398953553369</c:v>
                </c:pt>
                <c:pt idx="46">
                  <c:v>45.11398953553369</c:v>
                </c:pt>
                <c:pt idx="47">
                  <c:v>45.11398953553369</c:v>
                </c:pt>
                <c:pt idx="48">
                  <c:v>45.11398953553369</c:v>
                </c:pt>
                <c:pt idx="49">
                  <c:v>45.11398953553369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9E5-40F8-A8A4-851A1726411B}"/>
            </c:ext>
          </c:extLst>
        </c:ser>
        <c:ser>
          <c:idx val="9"/>
          <c:order val="6"/>
          <c:tx>
            <c:strRef>
              <c:f>'Completed Worksheet'!$J$1</c:f>
              <c:strCache>
                <c:ptCount val="1"/>
                <c:pt idx="0">
                  <c:v>I Bar - 2Sigma</c:v>
                </c:pt>
              </c:strCache>
            </c:strRef>
          </c:tx>
          <c:spPr>
            <a:ln w="952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'Completed Worksheet'!$J$2:$J$51</c:f>
              <c:numCache>
                <c:formatCode>0</c:formatCode>
                <c:ptCount val="50"/>
                <c:pt idx="0">
                  <c:v>40.087101030842675</c:v>
                </c:pt>
                <c:pt idx="1">
                  <c:v>40.087101030842675</c:v>
                </c:pt>
                <c:pt idx="2">
                  <c:v>40.087101030842675</c:v>
                </c:pt>
                <c:pt idx="3">
                  <c:v>40.087101030842675</c:v>
                </c:pt>
                <c:pt idx="4">
                  <c:v>40.087101030842675</c:v>
                </c:pt>
                <c:pt idx="5">
                  <c:v>40.087101030842675</c:v>
                </c:pt>
                <c:pt idx="6">
                  <c:v>40.087101030842675</c:v>
                </c:pt>
                <c:pt idx="7">
                  <c:v>40.087101030842675</c:v>
                </c:pt>
                <c:pt idx="8">
                  <c:v>40.087101030842675</c:v>
                </c:pt>
                <c:pt idx="9">
                  <c:v>40.087101030842675</c:v>
                </c:pt>
                <c:pt idx="10">
                  <c:v>40.087101030842675</c:v>
                </c:pt>
                <c:pt idx="11">
                  <c:v>40.087101030842675</c:v>
                </c:pt>
                <c:pt idx="12">
                  <c:v>40.087101030842675</c:v>
                </c:pt>
                <c:pt idx="13">
                  <c:v>40.087101030842675</c:v>
                </c:pt>
                <c:pt idx="14">
                  <c:v>40.087101030842675</c:v>
                </c:pt>
                <c:pt idx="15">
                  <c:v>40.087101030842675</c:v>
                </c:pt>
                <c:pt idx="16">
                  <c:v>40.087101030842675</c:v>
                </c:pt>
                <c:pt idx="17">
                  <c:v>40.087101030842675</c:v>
                </c:pt>
                <c:pt idx="18">
                  <c:v>40.087101030842675</c:v>
                </c:pt>
                <c:pt idx="19">
                  <c:v>40.087101030842675</c:v>
                </c:pt>
                <c:pt idx="20">
                  <c:v>40.087101030842675</c:v>
                </c:pt>
                <c:pt idx="21">
                  <c:v>40.087101030842675</c:v>
                </c:pt>
                <c:pt idx="22">
                  <c:v>40.087101030842675</c:v>
                </c:pt>
                <c:pt idx="23">
                  <c:v>40.087101030842675</c:v>
                </c:pt>
                <c:pt idx="24">
                  <c:v>40.087101030842675</c:v>
                </c:pt>
                <c:pt idx="25">
                  <c:v>40.087101030842675</c:v>
                </c:pt>
                <c:pt idx="26">
                  <c:v>40.087101030842675</c:v>
                </c:pt>
                <c:pt idx="27">
                  <c:v>40.087101030842675</c:v>
                </c:pt>
                <c:pt idx="28">
                  <c:v>40.087101030842675</c:v>
                </c:pt>
                <c:pt idx="29">
                  <c:v>40.087101030842675</c:v>
                </c:pt>
                <c:pt idx="30">
                  <c:v>40.087101030842675</c:v>
                </c:pt>
                <c:pt idx="31">
                  <c:v>40.087101030842675</c:v>
                </c:pt>
                <c:pt idx="32">
                  <c:v>40.087101030842675</c:v>
                </c:pt>
                <c:pt idx="33">
                  <c:v>40.087101030842675</c:v>
                </c:pt>
                <c:pt idx="34">
                  <c:v>40.087101030842675</c:v>
                </c:pt>
                <c:pt idx="35">
                  <c:v>40.087101030842675</c:v>
                </c:pt>
                <c:pt idx="36">
                  <c:v>40.087101030842675</c:v>
                </c:pt>
                <c:pt idx="37">
                  <c:v>40.087101030842675</c:v>
                </c:pt>
                <c:pt idx="38">
                  <c:v>40.087101030842675</c:v>
                </c:pt>
                <c:pt idx="39">
                  <c:v>40.087101030842675</c:v>
                </c:pt>
                <c:pt idx="40">
                  <c:v>40.087101030842675</c:v>
                </c:pt>
                <c:pt idx="41">
                  <c:v>40.087101030842675</c:v>
                </c:pt>
                <c:pt idx="42">
                  <c:v>40.087101030842675</c:v>
                </c:pt>
                <c:pt idx="43">
                  <c:v>40.087101030842675</c:v>
                </c:pt>
                <c:pt idx="44">
                  <c:v>40.087101030842675</c:v>
                </c:pt>
                <c:pt idx="45">
                  <c:v>40.087101030842675</c:v>
                </c:pt>
                <c:pt idx="46">
                  <c:v>40.087101030842675</c:v>
                </c:pt>
                <c:pt idx="47">
                  <c:v>40.087101030842675</c:v>
                </c:pt>
                <c:pt idx="48">
                  <c:v>40.087101030842675</c:v>
                </c:pt>
                <c:pt idx="49">
                  <c:v>40.087101030842675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E5-40F8-A8A4-851A1726411B}"/>
            </c:ext>
          </c:extLst>
        </c:ser>
        <c:ser>
          <c:idx val="10"/>
          <c:order val="7"/>
          <c:tx>
            <c:strRef>
              <c:f>'Completed Worksheet'!$K$1</c:f>
              <c:strCache>
                <c:ptCount val="1"/>
                <c:pt idx="0">
                  <c:v>I Bar - 3Sigma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'Completed Worksheet'!$K$2:$K$51</c:f>
              <c:numCache>
                <c:formatCode>0</c:formatCode>
                <c:ptCount val="50"/>
                <c:pt idx="0">
                  <c:v>35.060212526151652</c:v>
                </c:pt>
                <c:pt idx="1">
                  <c:v>35.060212526151652</c:v>
                </c:pt>
                <c:pt idx="2">
                  <c:v>35.060212526151652</c:v>
                </c:pt>
                <c:pt idx="3">
                  <c:v>35.060212526151652</c:v>
                </c:pt>
                <c:pt idx="4">
                  <c:v>35.060212526151652</c:v>
                </c:pt>
                <c:pt idx="5">
                  <c:v>35.060212526151652</c:v>
                </c:pt>
                <c:pt idx="6">
                  <c:v>35.060212526151652</c:v>
                </c:pt>
                <c:pt idx="7">
                  <c:v>35.060212526151652</c:v>
                </c:pt>
                <c:pt idx="8">
                  <c:v>35.060212526151652</c:v>
                </c:pt>
                <c:pt idx="9">
                  <c:v>35.060212526151652</c:v>
                </c:pt>
                <c:pt idx="10">
                  <c:v>35.060212526151652</c:v>
                </c:pt>
                <c:pt idx="11">
                  <c:v>35.060212526151652</c:v>
                </c:pt>
                <c:pt idx="12">
                  <c:v>35.060212526151652</c:v>
                </c:pt>
                <c:pt idx="13">
                  <c:v>35.060212526151652</c:v>
                </c:pt>
                <c:pt idx="14">
                  <c:v>35.060212526151652</c:v>
                </c:pt>
                <c:pt idx="15">
                  <c:v>35.060212526151652</c:v>
                </c:pt>
                <c:pt idx="16">
                  <c:v>35.060212526151652</c:v>
                </c:pt>
                <c:pt idx="17">
                  <c:v>35.060212526151652</c:v>
                </c:pt>
                <c:pt idx="18">
                  <c:v>35.060212526151652</c:v>
                </c:pt>
                <c:pt idx="19">
                  <c:v>35.060212526151652</c:v>
                </c:pt>
                <c:pt idx="20">
                  <c:v>35.060212526151652</c:v>
                </c:pt>
                <c:pt idx="21">
                  <c:v>35.060212526151652</c:v>
                </c:pt>
                <c:pt idx="22">
                  <c:v>35.060212526151652</c:v>
                </c:pt>
                <c:pt idx="23">
                  <c:v>35.060212526151652</c:v>
                </c:pt>
                <c:pt idx="24">
                  <c:v>35.060212526151652</c:v>
                </c:pt>
                <c:pt idx="25">
                  <c:v>35.060212526151652</c:v>
                </c:pt>
                <c:pt idx="26">
                  <c:v>35.060212526151652</c:v>
                </c:pt>
                <c:pt idx="27">
                  <c:v>35.060212526151652</c:v>
                </c:pt>
                <c:pt idx="28">
                  <c:v>35.060212526151652</c:v>
                </c:pt>
                <c:pt idx="29">
                  <c:v>35.060212526151652</c:v>
                </c:pt>
                <c:pt idx="30">
                  <c:v>35.060212526151652</c:v>
                </c:pt>
                <c:pt idx="31">
                  <c:v>35.060212526151652</c:v>
                </c:pt>
                <c:pt idx="32">
                  <c:v>35.060212526151652</c:v>
                </c:pt>
                <c:pt idx="33">
                  <c:v>35.060212526151652</c:v>
                </c:pt>
                <c:pt idx="34">
                  <c:v>35.060212526151652</c:v>
                </c:pt>
                <c:pt idx="35">
                  <c:v>35.060212526151652</c:v>
                </c:pt>
                <c:pt idx="36">
                  <c:v>35.060212526151652</c:v>
                </c:pt>
                <c:pt idx="37">
                  <c:v>35.060212526151652</c:v>
                </c:pt>
                <c:pt idx="38">
                  <c:v>35.060212526151652</c:v>
                </c:pt>
                <c:pt idx="39">
                  <c:v>35.060212526151652</c:v>
                </c:pt>
                <c:pt idx="40">
                  <c:v>35.060212526151652</c:v>
                </c:pt>
                <c:pt idx="41">
                  <c:v>35.060212526151652</c:v>
                </c:pt>
                <c:pt idx="42">
                  <c:v>35.060212526151652</c:v>
                </c:pt>
                <c:pt idx="43">
                  <c:v>35.060212526151652</c:v>
                </c:pt>
                <c:pt idx="44">
                  <c:v>35.060212526151652</c:v>
                </c:pt>
                <c:pt idx="45">
                  <c:v>35.060212526151652</c:v>
                </c:pt>
                <c:pt idx="46">
                  <c:v>35.060212526151652</c:v>
                </c:pt>
                <c:pt idx="47">
                  <c:v>35.060212526151652</c:v>
                </c:pt>
                <c:pt idx="48">
                  <c:v>35.060212526151652</c:v>
                </c:pt>
                <c:pt idx="49">
                  <c:v>35.060212526151652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9E5-40F8-A8A4-851A17264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236352"/>
        <c:axId val="792233024"/>
      </c:lineChart>
      <c:catAx>
        <c:axId val="792236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233024"/>
        <c:crosses val="autoZero"/>
        <c:auto val="1"/>
        <c:lblAlgn val="ctr"/>
        <c:lblOffset val="100"/>
        <c:noMultiLvlLbl val="0"/>
      </c:catAx>
      <c:valAx>
        <c:axId val="79223302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23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Moving Range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'Completed Worksheet'!$C$1</c:f>
              <c:strCache>
                <c:ptCount val="1"/>
                <c:pt idx="0">
                  <c:v>MR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'Completed Worksheet'!$C$2:$C$51</c:f>
              <c:numCache>
                <c:formatCode>0</c:formatCode>
                <c:ptCount val="50"/>
                <c:pt idx="0">
                  <c:v>0.99362234765436597</c:v>
                </c:pt>
                <c:pt idx="1">
                  <c:v>6.1501331488987034</c:v>
                </c:pt>
                <c:pt idx="2">
                  <c:v>0.67583750780831764</c:v>
                </c:pt>
                <c:pt idx="3">
                  <c:v>11.063946413528811</c:v>
                </c:pt>
                <c:pt idx="4">
                  <c:v>2.3581492010302156</c:v>
                </c:pt>
                <c:pt idx="5">
                  <c:v>13.071865804546917</c:v>
                </c:pt>
                <c:pt idx="6">
                  <c:v>17.295966079136413</c:v>
                </c:pt>
                <c:pt idx="7">
                  <c:v>2.0246965320657537</c:v>
                </c:pt>
                <c:pt idx="8">
                  <c:v>4.5420415113575103</c:v>
                </c:pt>
                <c:pt idx="9">
                  <c:v>3.8108155759821614</c:v>
                </c:pt>
                <c:pt idx="10">
                  <c:v>5.4396259251164096</c:v>
                </c:pt>
                <c:pt idx="11">
                  <c:v>0.4763034153653507</c:v>
                </c:pt>
                <c:pt idx="12">
                  <c:v>2.4615147919043991</c:v>
                </c:pt>
                <c:pt idx="13">
                  <c:v>16.254201710742933</c:v>
                </c:pt>
                <c:pt idx="14">
                  <c:v>15.733045667548652</c:v>
                </c:pt>
                <c:pt idx="15">
                  <c:v>1.6464825254746174</c:v>
                </c:pt>
                <c:pt idx="16">
                  <c:v>1.9942895978870041</c:v>
                </c:pt>
                <c:pt idx="17">
                  <c:v>2.5621311585556725</c:v>
                </c:pt>
                <c:pt idx="18">
                  <c:v>10.699184828828017</c:v>
                </c:pt>
                <c:pt idx="19">
                  <c:v>9.8886617795228986</c:v>
                </c:pt>
                <c:pt idx="20">
                  <c:v>8.585327615894613</c:v>
                </c:pt>
                <c:pt idx="21">
                  <c:v>13.379139294689601</c:v>
                </c:pt>
                <c:pt idx="22">
                  <c:v>3.6400376657806603</c:v>
                </c:pt>
                <c:pt idx="23">
                  <c:v>3.7914165182423005</c:v>
                </c:pt>
                <c:pt idx="24">
                  <c:v>3.3414558269413916</c:v>
                </c:pt>
                <c:pt idx="25">
                  <c:v>6.024466206566089</c:v>
                </c:pt>
                <c:pt idx="26">
                  <c:v>1.0221990080617687</c:v>
                </c:pt>
                <c:pt idx="27">
                  <c:v>6.7777651227093401</c:v>
                </c:pt>
                <c:pt idx="28">
                  <c:v>5.0273783666238856</c:v>
                </c:pt>
                <c:pt idx="29">
                  <c:v>5.8762986866900349</c:v>
                </c:pt>
                <c:pt idx="30">
                  <c:v>3.9176830599545482</c:v>
                </c:pt>
                <c:pt idx="31">
                  <c:v>2.0891095738926637</c:v>
                </c:pt>
                <c:pt idx="32">
                  <c:v>3.1245553907195927</c:v>
                </c:pt>
                <c:pt idx="33">
                  <c:v>6.546123758346269</c:v>
                </c:pt>
                <c:pt idx="34">
                  <c:v>7.6459901173646259</c:v>
                </c:pt>
                <c:pt idx="35">
                  <c:v>5.8755080239146977</c:v>
                </c:pt>
                <c:pt idx="36">
                  <c:v>6.9339269768668075</c:v>
                </c:pt>
                <c:pt idx="37">
                  <c:v>3.3208376201734282</c:v>
                </c:pt>
                <c:pt idx="38">
                  <c:v>2.2275699203229493</c:v>
                </c:pt>
                <c:pt idx="39">
                  <c:v>4.4855788081911285</c:v>
                </c:pt>
                <c:pt idx="40">
                  <c:v>7.1536285746590096</c:v>
                </c:pt>
                <c:pt idx="41">
                  <c:v>2.8523067499024322</c:v>
                </c:pt>
                <c:pt idx="42">
                  <c:v>0.52465480478655024</c:v>
                </c:pt>
                <c:pt idx="43">
                  <c:v>9.1915981357294925</c:v>
                </c:pt>
                <c:pt idx="44">
                  <c:v>12.466276850740648</c:v>
                </c:pt>
                <c:pt idx="45">
                  <c:v>0.9022394565556624</c:v>
                </c:pt>
                <c:pt idx="46">
                  <c:v>5.1956693780805878</c:v>
                </c:pt>
                <c:pt idx="47">
                  <c:v>9.0349040430226921</c:v>
                </c:pt>
                <c:pt idx="48">
                  <c:v>3.4203505861949424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C-402F-AA6D-299F8DC6D612}"/>
            </c:ext>
          </c:extLst>
        </c:ser>
        <c:ser>
          <c:idx val="3"/>
          <c:order val="1"/>
          <c:tx>
            <c:strRef>
              <c:f>'Completed Worksheet'!$D$1</c:f>
              <c:strCache>
                <c:ptCount val="1"/>
                <c:pt idx="0">
                  <c:v>MR Bar</c:v>
                </c:pt>
              </c:strCache>
            </c:strRef>
          </c:tx>
          <c:spPr>
            <a:ln w="22225" cap="rnd">
              <a:solidFill>
                <a:srgbClr val="002060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'Completed Worksheet'!$D$2:$D$51</c:f>
              <c:numCache>
                <c:formatCode>0</c:formatCode>
                <c:ptCount val="50"/>
                <c:pt idx="0">
                  <c:v>5.6703302332914713</c:v>
                </c:pt>
                <c:pt idx="1">
                  <c:v>5.6703302332914713</c:v>
                </c:pt>
                <c:pt idx="2">
                  <c:v>5.6703302332914713</c:v>
                </c:pt>
                <c:pt idx="3">
                  <c:v>5.6703302332914713</c:v>
                </c:pt>
                <c:pt idx="4">
                  <c:v>5.6703302332914713</c:v>
                </c:pt>
                <c:pt idx="5">
                  <c:v>5.6703302332914713</c:v>
                </c:pt>
                <c:pt idx="6">
                  <c:v>5.6703302332914713</c:v>
                </c:pt>
                <c:pt idx="7">
                  <c:v>5.6703302332914713</c:v>
                </c:pt>
                <c:pt idx="8">
                  <c:v>5.6703302332914713</c:v>
                </c:pt>
                <c:pt idx="9">
                  <c:v>5.6703302332914713</c:v>
                </c:pt>
                <c:pt idx="10">
                  <c:v>5.6703302332914713</c:v>
                </c:pt>
                <c:pt idx="11">
                  <c:v>5.6703302332914713</c:v>
                </c:pt>
                <c:pt idx="12">
                  <c:v>5.6703302332914713</c:v>
                </c:pt>
                <c:pt idx="13">
                  <c:v>5.6703302332914713</c:v>
                </c:pt>
                <c:pt idx="14">
                  <c:v>5.6703302332914713</c:v>
                </c:pt>
                <c:pt idx="15">
                  <c:v>5.6703302332914713</c:v>
                </c:pt>
                <c:pt idx="16">
                  <c:v>5.6703302332914713</c:v>
                </c:pt>
                <c:pt idx="17">
                  <c:v>5.6703302332914713</c:v>
                </c:pt>
                <c:pt idx="18">
                  <c:v>5.6703302332914713</c:v>
                </c:pt>
                <c:pt idx="19">
                  <c:v>5.6703302332914713</c:v>
                </c:pt>
                <c:pt idx="20">
                  <c:v>5.6703302332914713</c:v>
                </c:pt>
                <c:pt idx="21">
                  <c:v>5.6703302332914713</c:v>
                </c:pt>
                <c:pt idx="22">
                  <c:v>5.6703302332914713</c:v>
                </c:pt>
                <c:pt idx="23">
                  <c:v>5.6703302332914713</c:v>
                </c:pt>
                <c:pt idx="24">
                  <c:v>5.6703302332914713</c:v>
                </c:pt>
                <c:pt idx="25">
                  <c:v>5.6703302332914713</c:v>
                </c:pt>
                <c:pt idx="26">
                  <c:v>5.6703302332914713</c:v>
                </c:pt>
                <c:pt idx="27">
                  <c:v>5.6703302332914713</c:v>
                </c:pt>
                <c:pt idx="28">
                  <c:v>5.6703302332914713</c:v>
                </c:pt>
                <c:pt idx="29">
                  <c:v>5.6703302332914713</c:v>
                </c:pt>
                <c:pt idx="30">
                  <c:v>5.6703302332914713</c:v>
                </c:pt>
                <c:pt idx="31">
                  <c:v>5.6703302332914713</c:v>
                </c:pt>
                <c:pt idx="32">
                  <c:v>5.6703302332914713</c:v>
                </c:pt>
                <c:pt idx="33">
                  <c:v>5.6703302332914713</c:v>
                </c:pt>
                <c:pt idx="34">
                  <c:v>5.6703302332914713</c:v>
                </c:pt>
                <c:pt idx="35">
                  <c:v>5.6703302332914713</c:v>
                </c:pt>
                <c:pt idx="36">
                  <c:v>5.6703302332914713</c:v>
                </c:pt>
                <c:pt idx="37">
                  <c:v>5.6703302332914713</c:v>
                </c:pt>
                <c:pt idx="38">
                  <c:v>5.6703302332914713</c:v>
                </c:pt>
                <c:pt idx="39">
                  <c:v>5.6703302332914713</c:v>
                </c:pt>
                <c:pt idx="40">
                  <c:v>5.6703302332914713</c:v>
                </c:pt>
                <c:pt idx="41">
                  <c:v>5.6703302332914713</c:v>
                </c:pt>
                <c:pt idx="42">
                  <c:v>5.6703302332914713</c:v>
                </c:pt>
                <c:pt idx="43">
                  <c:v>5.6703302332914713</c:v>
                </c:pt>
                <c:pt idx="44">
                  <c:v>5.6703302332914713</c:v>
                </c:pt>
                <c:pt idx="45">
                  <c:v>5.6703302332914713</c:v>
                </c:pt>
                <c:pt idx="46">
                  <c:v>5.6703302332914713</c:v>
                </c:pt>
                <c:pt idx="47">
                  <c:v>5.6703302332914713</c:v>
                </c:pt>
                <c:pt idx="48">
                  <c:v>5.6703302332914713</c:v>
                </c:pt>
                <c:pt idx="49">
                  <c:v>5.6703302332914713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C-402F-AA6D-299F8DC6D612}"/>
            </c:ext>
          </c:extLst>
        </c:ser>
        <c:ser>
          <c:idx val="11"/>
          <c:order val="2"/>
          <c:tx>
            <c:strRef>
              <c:f>'Completed Worksheet'!$L$1</c:f>
              <c:strCache>
                <c:ptCount val="1"/>
                <c:pt idx="0">
                  <c:v>MR UCL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'Completed Worksheet'!$L$2:$L$51</c:f>
              <c:numCache>
                <c:formatCode>0</c:formatCode>
                <c:ptCount val="50"/>
                <c:pt idx="0">
                  <c:v>18.524968872163235</c:v>
                </c:pt>
                <c:pt idx="1">
                  <c:v>18.524968872163235</c:v>
                </c:pt>
                <c:pt idx="2">
                  <c:v>18.524968872163235</c:v>
                </c:pt>
                <c:pt idx="3">
                  <c:v>18.524968872163235</c:v>
                </c:pt>
                <c:pt idx="4">
                  <c:v>18.524968872163235</c:v>
                </c:pt>
                <c:pt idx="5">
                  <c:v>18.524968872163235</c:v>
                </c:pt>
                <c:pt idx="6">
                  <c:v>18.524968872163235</c:v>
                </c:pt>
                <c:pt idx="7">
                  <c:v>18.524968872163235</c:v>
                </c:pt>
                <c:pt idx="8">
                  <c:v>18.524968872163235</c:v>
                </c:pt>
                <c:pt idx="9">
                  <c:v>18.524968872163235</c:v>
                </c:pt>
                <c:pt idx="10">
                  <c:v>18.524968872163235</c:v>
                </c:pt>
                <c:pt idx="11">
                  <c:v>18.524968872163235</c:v>
                </c:pt>
                <c:pt idx="12">
                  <c:v>18.524968872163235</c:v>
                </c:pt>
                <c:pt idx="13">
                  <c:v>18.524968872163235</c:v>
                </c:pt>
                <c:pt idx="14">
                  <c:v>18.524968872163235</c:v>
                </c:pt>
                <c:pt idx="15">
                  <c:v>18.524968872163235</c:v>
                </c:pt>
                <c:pt idx="16">
                  <c:v>18.524968872163235</c:v>
                </c:pt>
                <c:pt idx="17">
                  <c:v>18.524968872163235</c:v>
                </c:pt>
                <c:pt idx="18">
                  <c:v>18.524968872163235</c:v>
                </c:pt>
                <c:pt idx="19">
                  <c:v>18.524968872163235</c:v>
                </c:pt>
                <c:pt idx="20">
                  <c:v>18.524968872163235</c:v>
                </c:pt>
                <c:pt idx="21">
                  <c:v>18.524968872163235</c:v>
                </c:pt>
                <c:pt idx="22">
                  <c:v>18.524968872163235</c:v>
                </c:pt>
                <c:pt idx="23">
                  <c:v>18.524968872163235</c:v>
                </c:pt>
                <c:pt idx="24">
                  <c:v>18.524968872163235</c:v>
                </c:pt>
                <c:pt idx="25">
                  <c:v>18.524968872163235</c:v>
                </c:pt>
                <c:pt idx="26">
                  <c:v>18.524968872163235</c:v>
                </c:pt>
                <c:pt idx="27">
                  <c:v>18.524968872163235</c:v>
                </c:pt>
                <c:pt idx="28">
                  <c:v>18.524968872163235</c:v>
                </c:pt>
                <c:pt idx="29">
                  <c:v>18.524968872163235</c:v>
                </c:pt>
                <c:pt idx="30">
                  <c:v>18.524968872163235</c:v>
                </c:pt>
                <c:pt idx="31">
                  <c:v>18.524968872163235</c:v>
                </c:pt>
                <c:pt idx="32">
                  <c:v>18.524968872163235</c:v>
                </c:pt>
                <c:pt idx="33">
                  <c:v>18.524968872163235</c:v>
                </c:pt>
                <c:pt idx="34">
                  <c:v>18.524968872163235</c:v>
                </c:pt>
                <c:pt idx="35">
                  <c:v>18.524968872163235</c:v>
                </c:pt>
                <c:pt idx="36">
                  <c:v>18.524968872163235</c:v>
                </c:pt>
                <c:pt idx="37">
                  <c:v>18.524968872163235</c:v>
                </c:pt>
                <c:pt idx="38">
                  <c:v>18.524968872163235</c:v>
                </c:pt>
                <c:pt idx="39">
                  <c:v>18.524968872163235</c:v>
                </c:pt>
                <c:pt idx="40">
                  <c:v>18.524968872163235</c:v>
                </c:pt>
                <c:pt idx="41">
                  <c:v>18.524968872163235</c:v>
                </c:pt>
                <c:pt idx="42">
                  <c:v>18.524968872163235</c:v>
                </c:pt>
                <c:pt idx="43">
                  <c:v>18.524968872163235</c:v>
                </c:pt>
                <c:pt idx="44">
                  <c:v>18.524968872163235</c:v>
                </c:pt>
                <c:pt idx="45">
                  <c:v>18.524968872163235</c:v>
                </c:pt>
                <c:pt idx="46">
                  <c:v>18.524968872163235</c:v>
                </c:pt>
                <c:pt idx="47">
                  <c:v>18.524968872163235</c:v>
                </c:pt>
                <c:pt idx="48">
                  <c:v>18.524968872163235</c:v>
                </c:pt>
                <c:pt idx="49">
                  <c:v>18.524968872163235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4C-402F-AA6D-299F8DC6D612}"/>
            </c:ext>
          </c:extLst>
        </c:ser>
        <c:ser>
          <c:idx val="12"/>
          <c:order val="3"/>
          <c:tx>
            <c:strRef>
              <c:f>'Completed Worksheet'!$M$1</c:f>
              <c:strCache>
                <c:ptCount val="1"/>
                <c:pt idx="0">
                  <c:v>MR LCL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'Completed Worksheet'!$M$2:$M$51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4C-402F-AA6D-299F8DC6D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238848"/>
        <c:axId val="792252160"/>
      </c:lineChart>
      <c:catAx>
        <c:axId val="792238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252160"/>
        <c:crosses val="autoZero"/>
        <c:auto val="1"/>
        <c:lblAlgn val="ctr"/>
        <c:lblOffset val="100"/>
        <c:noMultiLvlLbl val="0"/>
      </c:catAx>
      <c:valAx>
        <c:axId val="7922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2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119062</xdr:colOff>
      <xdr:row>0</xdr:row>
      <xdr:rowOff>90486</xdr:rowOff>
    </xdr:from>
    <xdr:to>
      <xdr:col>26</xdr:col>
      <xdr:colOff>361950</xdr:colOff>
      <xdr:row>21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81533B-F272-2A39-1760-45A6F85C3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80961</xdr:colOff>
      <xdr:row>21</xdr:row>
      <xdr:rowOff>128586</xdr:rowOff>
    </xdr:from>
    <xdr:to>
      <xdr:col>26</xdr:col>
      <xdr:colOff>409574</xdr:colOff>
      <xdr:row>43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588299-1ACE-34C5-A07E-0AEF1AF25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0</xdr:row>
      <xdr:rowOff>45720</xdr:rowOff>
    </xdr:from>
    <xdr:to>
      <xdr:col>21</xdr:col>
      <xdr:colOff>327660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ABFDC-6A55-45A9-9D44-CBB32FCC2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449580</xdr:colOff>
      <xdr:row>24</xdr:row>
      <xdr:rowOff>45720</xdr:rowOff>
    </xdr:from>
    <xdr:to>
      <xdr:col>21</xdr:col>
      <xdr:colOff>342900</xdr:colOff>
      <xdr:row>48</xdr:row>
      <xdr:rowOff>15246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3022B8-FB2A-4049-A9FF-E806FC925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F7672-5475-460E-BE80-57E1C82BFFF5}" name="Table1" displayName="Table1" ref="A1:L51" totalsRowShown="0" headerRowDxfId="15" dataDxfId="16">
  <autoFilter ref="A1:L51" xr:uid="{B8FF7672-5475-460E-BE80-57E1C82BFFF5}"/>
  <tableColumns count="12">
    <tableColumn id="1" xr3:uid="{C00F6BA7-72C5-467E-97C9-AFE10D1E9741}" name="I" dataDxfId="14"/>
    <tableColumn id="2" xr3:uid="{6D63F098-E728-4CCC-AD3D-E7A71D38BA96}" name="I Bar" dataDxfId="13">
      <calculatedColumnFormula>AVERAGE(Table1[I])</calculatedColumnFormula>
    </tableColumn>
    <tableColumn id="3" xr3:uid="{689AD348-DB4C-4FAF-89E6-8B849A4B4743}" name="MR" dataDxfId="12">
      <calculatedColumnFormula>MAX(A2:A3)-MIN(A2:A3)</calculatedColumnFormula>
    </tableColumn>
    <tableColumn id="4" xr3:uid="{7B7E8725-C7B1-4138-895A-BD70823BABBC}" name="MR Bar" dataDxfId="11">
      <calculatedColumnFormula>AVERAGE(C2:C51)</calculatedColumnFormula>
    </tableColumn>
    <tableColumn id="5" xr3:uid="{C8CF83EF-82A5-4A0C-95B6-AD8FFBF188F3}" name="I Sigma" dataDxfId="10">
      <calculatedColumnFormula>Table1[[#This Row],[MR Bar]]/1.128</calculatedColumnFormula>
    </tableColumn>
    <tableColumn id="6" xr3:uid="{DD3ABFD0-CDE1-422A-B11C-234D30AE6D14}" name="I Bar + 1Sigma" dataDxfId="9">
      <calculatedColumnFormula>Table1[[#This Row],[I Bar]]+Table1[[#This Row],[I Sigma]]</calculatedColumnFormula>
    </tableColumn>
    <tableColumn id="7" xr3:uid="{2A1C0E95-66EE-4C98-BD9C-11BCDF910C82}" name="I Bar + 2Sigma" dataDxfId="8">
      <calculatedColumnFormula>Table1[[#This Row],[I Bar]]+2*Table1[[#This Row],[I Sigma]]</calculatedColumnFormula>
    </tableColumn>
    <tableColumn id="8" xr3:uid="{E6DA477A-562A-40A5-9344-A9A0DF89BF1C}" name="I Bar + 3Sigma" dataDxfId="7">
      <calculatedColumnFormula>Table1[[#This Row],[I Bar]]+3*Table1[[#This Row],[I Sigma]]</calculatedColumnFormula>
    </tableColumn>
    <tableColumn id="9" xr3:uid="{9AB7DAA9-4151-4B39-98EC-3A26BCFF3F50}" name="I Bar - 1Sigma" dataDxfId="6">
      <calculatedColumnFormula>Table1[[#This Row],[I Bar]]-Table1[[#This Row],[I Sigma]]</calculatedColumnFormula>
    </tableColumn>
    <tableColumn id="10" xr3:uid="{61C577C0-81E9-4218-A23E-C0F9F32C14DF}" name="I Bar - 2Sigma" dataDxfId="5">
      <calculatedColumnFormula>Table1[[#This Row],[I Bar]]-2*Table1[[#This Row],[I Sigma]]</calculatedColumnFormula>
    </tableColumn>
    <tableColumn id="11" xr3:uid="{331CA4C4-5594-4704-B96E-7F7B782C5C2E}" name="I Bar - 3Sigma" dataDxfId="1">
      <calculatedColumnFormula>Table1[[#This Row],[I Bar]]-3*Table1[[#This Row],[I Sigma]]</calculatedColumnFormula>
    </tableColumn>
    <tableColumn id="12" xr3:uid="{12F553D6-D578-4C5C-BCA8-0DB318A5703B}" name="MR UCL" dataDxfId="0">
      <calculatedColumnFormula>3.267*Table1[[#This Row],[MR Bar]]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003A88-864D-419A-9B51-706594517671}" name="Table3" displayName="Table3" ref="M1:M52" totalsRowShown="0" headerRowDxfId="2" dataDxfId="3">
  <autoFilter ref="M1:M52" xr:uid="{74003A88-864D-419A-9B51-706594517671}"/>
  <tableColumns count="1">
    <tableColumn id="1" xr3:uid="{84BE8F61-E0B9-4150-9887-AAEF3B12845F}" name="MR LCL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19CC9-F42F-43C4-A9B3-2407B1AE5B82}" name="Table2" displayName="Table2" ref="A1:M51" totalsRowShown="0" headerRowDxfId="31" dataDxfId="30">
  <autoFilter ref="A1:M51" xr:uid="{3D619CC9-F42F-43C4-A9B3-2407B1AE5B82}"/>
  <tableColumns count="13">
    <tableColumn id="1" xr3:uid="{6708C0DF-6144-4A2E-94B1-1F2AB96E537C}" name="I" dataDxfId="29"/>
    <tableColumn id="2" xr3:uid="{8BD8B6C2-13DE-4361-9B17-42CFC0440190}" name="I Bar" dataDxfId="28">
      <calculatedColumnFormula>AVERAGE(Table2[I])</calculatedColumnFormula>
    </tableColumn>
    <tableColumn id="3" xr3:uid="{37358629-2FC0-4434-B915-74C9F2ED1BFC}" name="MR" dataDxfId="27">
      <calculatedColumnFormula>MAX(A2:A3)-MIN(A2:A3)</calculatedColumnFormula>
    </tableColumn>
    <tableColumn id="4" xr3:uid="{5F40BE88-A395-4856-BBFE-86FFF8071E99}" name="MR Bar" dataDxfId="26">
      <calculatedColumnFormula>AVERAGE(Table2[MR])</calculatedColumnFormula>
    </tableColumn>
    <tableColumn id="5" xr3:uid="{2B6CE763-B6F7-49E6-BF44-EBBDA39BD995}" name="I Sigma" dataDxfId="25">
      <calculatedColumnFormula>Table2[[#This Row],[MR Bar]]/1.128</calculatedColumnFormula>
    </tableColumn>
    <tableColumn id="6" xr3:uid="{554B7E9C-F183-4338-A44E-10D220BC4BCE}" name="I Bar + 1Sigma" dataDxfId="24">
      <calculatedColumnFormula>Table2[[#This Row],[I Bar]]+Table2[[#This Row],[I Sigma]]</calculatedColumnFormula>
    </tableColumn>
    <tableColumn id="7" xr3:uid="{06F22814-6073-45A3-9280-B68C122D4F5F}" name="I Bar + 2Sigma" dataDxfId="23">
      <calculatedColumnFormula>Table2[[#This Row],[I Bar]]+2*Table2[[#This Row],[I Sigma]]</calculatedColumnFormula>
    </tableColumn>
    <tableColumn id="8" xr3:uid="{E1F66B2C-84BA-411F-A559-FE779B7BCC58}" name="I Bar + 3Sigma" dataDxfId="22">
      <calculatedColumnFormula>Table2[[#This Row],[I Bar]]+3*Table2[[#This Row],[I Sigma]]</calculatedColumnFormula>
    </tableColumn>
    <tableColumn id="9" xr3:uid="{7588AE1F-2DC9-456B-8607-6822B7B9440C}" name="I Bar - 1Sigma" dataDxfId="21">
      <calculatedColumnFormula>Table2[[#This Row],[I Bar]]-Table2[[#This Row],[I Sigma]]</calculatedColumnFormula>
    </tableColumn>
    <tableColumn id="10" xr3:uid="{C016C404-3897-4356-9CEC-F135D611B7A5}" name="I Bar - 2Sigma" dataDxfId="20">
      <calculatedColumnFormula>Table2[[#This Row],[I Bar]]-2*Table2[[#This Row],[I Sigma]]</calculatedColumnFormula>
    </tableColumn>
    <tableColumn id="11" xr3:uid="{36516657-1277-4817-8E5E-D4876EE1E9CC}" name="I Bar - 3Sigma" dataDxfId="19">
      <calculatedColumnFormula>Table2[[#This Row],[I Bar]]-3*Table2[[#This Row],[I Sigma]]</calculatedColumnFormula>
    </tableColumn>
    <tableColumn id="12" xr3:uid="{EFDA1602-D7CD-41B5-817F-7F9175110931}" name="MR UCL" dataDxfId="18">
      <calculatedColumnFormula>3.267*Table2[[#This Row],[MR Bar]]</calculatedColumnFormula>
    </tableColumn>
    <tableColumn id="13" xr3:uid="{BEE67D42-1873-4149-BB88-580715D79074}" name="MR LCL" dataDxfId="17">
      <calculatedColumnFormula>3.267*Table2[[#This Row],[MR Bar]]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20DE-508F-4023-B36F-CF73910AB873}">
  <dimension ref="A1:M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A17" sqref="AA17"/>
    </sheetView>
  </sheetViews>
  <sheetFormatPr defaultColWidth="8.85546875" defaultRowHeight="15" x14ac:dyDescent="0.25"/>
  <cols>
    <col min="1" max="12" width="9.5703125" style="1" customWidth="1"/>
    <col min="13" max="13" width="9.5703125" style="3" customWidth="1"/>
    <col min="14" max="16384" width="8.8554687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5">
      <c r="A2" s="1">
        <v>49.594044012659573</v>
      </c>
      <c r="B2" s="2">
        <f>AVERAGE(Table1[I])</f>
        <v>50.140878040224713</v>
      </c>
      <c r="C2" s="2">
        <f t="shared" ref="C2:C33" si="0">MAX(A2:A3)-MIN(A2:A3)</f>
        <v>0.99362234765436597</v>
      </c>
      <c r="D2" s="2">
        <f t="shared" ref="D2:D33" si="1">AVERAGE(C2:C51)</f>
        <v>5.6703302332914713</v>
      </c>
      <c r="E2" s="2">
        <f>Table1[[#This Row],[MR Bar]]/1.128</f>
        <v>5.026888504691021</v>
      </c>
      <c r="F2" s="2">
        <f>Table1[[#This Row],[I Bar]]+Table1[[#This Row],[I Sigma]]</f>
        <v>55.167766544915736</v>
      </c>
      <c r="G2" s="2">
        <f>Table1[[#This Row],[I Bar]]+2*Table1[[#This Row],[I Sigma]]</f>
        <v>60.194655049606752</v>
      </c>
      <c r="H2" s="2">
        <f>Table1[[#This Row],[I Bar]]+3*Table1[[#This Row],[I Sigma]]</f>
        <v>65.221543554297781</v>
      </c>
      <c r="I2" s="2">
        <f>Table1[[#This Row],[I Bar]]-Table1[[#This Row],[I Sigma]]</f>
        <v>45.11398953553369</v>
      </c>
      <c r="J2" s="2">
        <f>Table1[[#This Row],[I Bar]]-2*Table1[[#This Row],[I Sigma]]</f>
        <v>40.087101030842675</v>
      </c>
      <c r="K2" s="2">
        <f>Table1[[#This Row],[I Bar]]-3*Table1[[#This Row],[I Sigma]]</f>
        <v>35.060212526151652</v>
      </c>
      <c r="L2" s="2">
        <f>3.267*Table1[[#This Row],[MR Bar]]</f>
        <v>18.524968872163235</v>
      </c>
      <c r="M2" s="3">
        <v>0</v>
      </c>
    </row>
    <row r="3" spans="1:13" x14ac:dyDescent="0.25">
      <c r="A3" s="1">
        <v>50.587666360313939</v>
      </c>
      <c r="B3" s="2">
        <f>AVERAGE(Table1[I])</f>
        <v>50.140878040224713</v>
      </c>
      <c r="C3" s="2">
        <f t="shared" si="0"/>
        <v>6.1501331488987034</v>
      </c>
      <c r="D3" s="2">
        <f t="shared" si="1"/>
        <v>5.7657732513656992</v>
      </c>
      <c r="E3" s="2">
        <f>Table1[[#This Row],[MR Bar]]/1.128</f>
        <v>5.1115011093667553</v>
      </c>
      <c r="F3" s="2">
        <f>Table1[[#This Row],[I Bar]]+Table1[[#This Row],[I Sigma]]</f>
        <v>55.252379149591469</v>
      </c>
      <c r="G3" s="2">
        <f>Table1[[#This Row],[I Bar]]+2*Table1[[#This Row],[I Sigma]]</f>
        <v>60.363880258958226</v>
      </c>
      <c r="H3" s="2">
        <f>Table1[[#This Row],[I Bar]]+3*Table1[[#This Row],[I Sigma]]</f>
        <v>65.475381368324975</v>
      </c>
      <c r="I3" s="2">
        <f>Table1[[#This Row],[I Bar]]-Table1[[#This Row],[I Sigma]]</f>
        <v>45.029376930857957</v>
      </c>
      <c r="J3" s="2">
        <f>Table1[[#This Row],[I Bar]]-2*Table1[[#This Row],[I Sigma]]</f>
        <v>39.917875821491201</v>
      </c>
      <c r="K3" s="2">
        <f>Table1[[#This Row],[I Bar]]-3*Table1[[#This Row],[I Sigma]]</f>
        <v>34.806374712124452</v>
      </c>
      <c r="L3" s="2">
        <f>3.267*Table1[[#This Row],[MR Bar]]</f>
        <v>18.83678121221174</v>
      </c>
      <c r="M3" s="3">
        <v>0</v>
      </c>
    </row>
    <row r="4" spans="1:13" x14ac:dyDescent="0.25">
      <c r="A4" s="1">
        <v>44.437533211415236</v>
      </c>
      <c r="B4" s="2">
        <f>AVERAGE(Table1[I])</f>
        <v>50.140878040224713</v>
      </c>
      <c r="C4" s="2">
        <f t="shared" si="0"/>
        <v>0.67583750780831764</v>
      </c>
      <c r="D4" s="2">
        <f t="shared" si="1"/>
        <v>5.7577657535004283</v>
      </c>
      <c r="E4" s="2">
        <f>Table1[[#This Row],[MR Bar]]/1.128</f>
        <v>5.1044022637415152</v>
      </c>
      <c r="F4" s="2">
        <f>Table1[[#This Row],[I Bar]]+Table1[[#This Row],[I Sigma]]</f>
        <v>55.245280303966226</v>
      </c>
      <c r="G4" s="2">
        <f>Table1[[#This Row],[I Bar]]+2*Table1[[#This Row],[I Sigma]]</f>
        <v>60.349682567707745</v>
      </c>
      <c r="H4" s="2">
        <f>Table1[[#This Row],[I Bar]]+3*Table1[[#This Row],[I Sigma]]</f>
        <v>65.454084831449251</v>
      </c>
      <c r="I4" s="2">
        <f>Table1[[#This Row],[I Bar]]-Table1[[#This Row],[I Sigma]]</f>
        <v>45.036475776483201</v>
      </c>
      <c r="J4" s="2">
        <f>Table1[[#This Row],[I Bar]]-2*Table1[[#This Row],[I Sigma]]</f>
        <v>39.932073512741681</v>
      </c>
      <c r="K4" s="2">
        <f>Table1[[#This Row],[I Bar]]-3*Table1[[#This Row],[I Sigma]]</f>
        <v>34.827671249000169</v>
      </c>
      <c r="L4" s="2">
        <f>3.267*Table1[[#This Row],[MR Bar]]</f>
        <v>18.8106207166859</v>
      </c>
      <c r="M4" s="3">
        <v>0</v>
      </c>
    </row>
    <row r="5" spans="1:13" x14ac:dyDescent="0.25">
      <c r="A5" s="1">
        <v>45.113370719223553</v>
      </c>
      <c r="B5" s="2">
        <f>AVERAGE(Table1[I])</f>
        <v>50.140878040224713</v>
      </c>
      <c r="C5" s="2">
        <f t="shared" si="0"/>
        <v>11.063946413528811</v>
      </c>
      <c r="D5" s="2">
        <f t="shared" si="1"/>
        <v>5.8658918863874918</v>
      </c>
      <c r="E5" s="2">
        <f>Table1[[#This Row],[MR Bar]]/1.128</f>
        <v>5.200258764527919</v>
      </c>
      <c r="F5" s="2">
        <f>Table1[[#This Row],[I Bar]]+Table1[[#This Row],[I Sigma]]</f>
        <v>55.34113680475263</v>
      </c>
      <c r="G5" s="2">
        <f>Table1[[#This Row],[I Bar]]+2*Table1[[#This Row],[I Sigma]]</f>
        <v>60.541395569280553</v>
      </c>
      <c r="H5" s="2">
        <f>Table1[[#This Row],[I Bar]]+3*Table1[[#This Row],[I Sigma]]</f>
        <v>65.741654333808469</v>
      </c>
      <c r="I5" s="2">
        <f>Table1[[#This Row],[I Bar]]-Table1[[#This Row],[I Sigma]]</f>
        <v>44.940619275696797</v>
      </c>
      <c r="J5" s="2">
        <f>Table1[[#This Row],[I Bar]]-2*Table1[[#This Row],[I Sigma]]</f>
        <v>39.740360511168873</v>
      </c>
      <c r="K5" s="2">
        <f>Table1[[#This Row],[I Bar]]-3*Table1[[#This Row],[I Sigma]]</f>
        <v>34.540101746640957</v>
      </c>
      <c r="L5" s="2">
        <f>3.267*Table1[[#This Row],[MR Bar]]</f>
        <v>19.163868792827934</v>
      </c>
      <c r="M5" s="3">
        <v>0</v>
      </c>
    </row>
    <row r="6" spans="1:13" x14ac:dyDescent="0.25">
      <c r="A6" s="1">
        <v>56.177317132752364</v>
      </c>
      <c r="B6" s="2">
        <f>AVERAGE(Table1[I])</f>
        <v>50.140878040224713</v>
      </c>
      <c r="C6" s="2">
        <f t="shared" si="0"/>
        <v>2.3581492010302156</v>
      </c>
      <c r="D6" s="2">
        <f t="shared" si="1"/>
        <v>5.7528907010148558</v>
      </c>
      <c r="E6" s="2">
        <f>Table1[[#This Row],[MR Bar]]/1.128</f>
        <v>5.100080408701114</v>
      </c>
      <c r="F6" s="2">
        <f>Table1[[#This Row],[I Bar]]+Table1[[#This Row],[I Sigma]]</f>
        <v>55.240958448925824</v>
      </c>
      <c r="G6" s="2">
        <f>Table1[[#This Row],[I Bar]]+2*Table1[[#This Row],[I Sigma]]</f>
        <v>60.341038857626941</v>
      </c>
      <c r="H6" s="2">
        <f>Table1[[#This Row],[I Bar]]+3*Table1[[#This Row],[I Sigma]]</f>
        <v>65.441119266328059</v>
      </c>
      <c r="I6" s="2">
        <f>Table1[[#This Row],[I Bar]]-Table1[[#This Row],[I Sigma]]</f>
        <v>45.040797631523603</v>
      </c>
      <c r="J6" s="2">
        <f>Table1[[#This Row],[I Bar]]-2*Table1[[#This Row],[I Sigma]]</f>
        <v>39.940717222822485</v>
      </c>
      <c r="K6" s="2">
        <f>Table1[[#This Row],[I Bar]]-3*Table1[[#This Row],[I Sigma]]</f>
        <v>34.840636814121368</v>
      </c>
      <c r="L6" s="2">
        <f>3.267*Table1[[#This Row],[MR Bar]]</f>
        <v>18.794693920215533</v>
      </c>
      <c r="M6" s="3">
        <v>0</v>
      </c>
    </row>
    <row r="7" spans="1:13" x14ac:dyDescent="0.25">
      <c r="A7" s="1">
        <v>53.819167931722149</v>
      </c>
      <c r="B7" s="2">
        <f>AVERAGE(Table1[I])</f>
        <v>50.140878040224713</v>
      </c>
      <c r="C7" s="2">
        <f t="shared" si="0"/>
        <v>13.071865804546917</v>
      </c>
      <c r="D7" s="2">
        <f t="shared" si="1"/>
        <v>5.828329401014515</v>
      </c>
      <c r="E7" s="2">
        <f>Table1[[#This Row],[MR Bar]]/1.128</f>
        <v>5.166958688842656</v>
      </c>
      <c r="F7" s="2">
        <f>Table1[[#This Row],[I Bar]]+Table1[[#This Row],[I Sigma]]</f>
        <v>55.307836729067368</v>
      </c>
      <c r="G7" s="2">
        <f>Table1[[#This Row],[I Bar]]+2*Table1[[#This Row],[I Sigma]]</f>
        <v>60.474795417910023</v>
      </c>
      <c r="H7" s="2">
        <f>Table1[[#This Row],[I Bar]]+3*Table1[[#This Row],[I Sigma]]</f>
        <v>65.641754106752686</v>
      </c>
      <c r="I7" s="2">
        <f>Table1[[#This Row],[I Bar]]-Table1[[#This Row],[I Sigma]]</f>
        <v>44.973919351382058</v>
      </c>
      <c r="J7" s="2">
        <f>Table1[[#This Row],[I Bar]]-2*Table1[[#This Row],[I Sigma]]</f>
        <v>39.806960662539403</v>
      </c>
      <c r="K7" s="2">
        <f>Table1[[#This Row],[I Bar]]-3*Table1[[#This Row],[I Sigma]]</f>
        <v>34.640001973696741</v>
      </c>
      <c r="L7" s="2">
        <f>3.267*Table1[[#This Row],[MR Bar]]</f>
        <v>19.041152153114421</v>
      </c>
      <c r="M7" s="3">
        <v>0</v>
      </c>
    </row>
    <row r="8" spans="1:13" x14ac:dyDescent="0.25">
      <c r="A8" s="1">
        <v>66.891033736269065</v>
      </c>
      <c r="B8" s="2">
        <f>AVERAGE(Table1[I])</f>
        <v>50.140878040224713</v>
      </c>
      <c r="C8" s="2">
        <f t="shared" si="0"/>
        <v>17.295966079136413</v>
      </c>
      <c r="D8" s="2">
        <f t="shared" si="1"/>
        <v>5.6637035736615067</v>
      </c>
      <c r="E8" s="2">
        <f>Table1[[#This Row],[MR Bar]]/1.128</f>
        <v>5.0210138064375061</v>
      </c>
      <c r="F8" s="2">
        <f>Table1[[#This Row],[I Bar]]+Table1[[#This Row],[I Sigma]]</f>
        <v>55.161891846662222</v>
      </c>
      <c r="G8" s="2">
        <f>Table1[[#This Row],[I Bar]]+2*Table1[[#This Row],[I Sigma]]</f>
        <v>60.182905653099724</v>
      </c>
      <c r="H8" s="2">
        <f>Table1[[#This Row],[I Bar]]+3*Table1[[#This Row],[I Sigma]]</f>
        <v>65.203919459537232</v>
      </c>
      <c r="I8" s="2">
        <f>Table1[[#This Row],[I Bar]]-Table1[[#This Row],[I Sigma]]</f>
        <v>45.119864233787204</v>
      </c>
      <c r="J8" s="2">
        <f>Table1[[#This Row],[I Bar]]-2*Table1[[#This Row],[I Sigma]]</f>
        <v>40.098850427349703</v>
      </c>
      <c r="K8" s="2">
        <f>Table1[[#This Row],[I Bar]]-3*Table1[[#This Row],[I Sigma]]</f>
        <v>35.077836620912194</v>
      </c>
      <c r="L8" s="2">
        <f>3.267*Table1[[#This Row],[MR Bar]]</f>
        <v>18.50331957515214</v>
      </c>
      <c r="M8" s="3">
        <v>0</v>
      </c>
    </row>
    <row r="9" spans="1:13" x14ac:dyDescent="0.25">
      <c r="A9" s="1">
        <v>49.595067657132653</v>
      </c>
      <c r="B9" s="2">
        <f>AVERAGE(Table1[I])</f>
        <v>50.140878040224713</v>
      </c>
      <c r="C9" s="2">
        <f t="shared" si="0"/>
        <v>2.0246965320657537</v>
      </c>
      <c r="D9" s="2">
        <f t="shared" si="1"/>
        <v>5.3931858409760434</v>
      </c>
      <c r="E9" s="2">
        <f>Table1[[#This Row],[MR Bar]]/1.128</f>
        <v>4.7811931214326631</v>
      </c>
      <c r="F9" s="2">
        <f>Table1[[#This Row],[I Bar]]+Table1[[#This Row],[I Sigma]]</f>
        <v>54.922071161657378</v>
      </c>
      <c r="G9" s="2">
        <f>Table1[[#This Row],[I Bar]]+2*Table1[[#This Row],[I Sigma]]</f>
        <v>59.703264283090036</v>
      </c>
      <c r="H9" s="2">
        <f>Table1[[#This Row],[I Bar]]+3*Table1[[#This Row],[I Sigma]]</f>
        <v>64.484457404522701</v>
      </c>
      <c r="I9" s="2">
        <f>Table1[[#This Row],[I Bar]]-Table1[[#This Row],[I Sigma]]</f>
        <v>45.359684918792048</v>
      </c>
      <c r="J9" s="2">
        <f>Table1[[#This Row],[I Bar]]-2*Table1[[#This Row],[I Sigma]]</f>
        <v>40.578491797359391</v>
      </c>
      <c r="K9" s="2">
        <f>Table1[[#This Row],[I Bar]]-3*Table1[[#This Row],[I Sigma]]</f>
        <v>35.797298675926726</v>
      </c>
      <c r="L9" s="2">
        <f>3.267*Table1[[#This Row],[MR Bar]]</f>
        <v>17.619538142468734</v>
      </c>
      <c r="M9" s="3">
        <v>0</v>
      </c>
    </row>
    <row r="10" spans="1:13" x14ac:dyDescent="0.25">
      <c r="A10" s="1">
        <v>47.570371125066899</v>
      </c>
      <c r="B10" s="2">
        <f>AVERAGE(Table1[I])</f>
        <v>50.140878040224713</v>
      </c>
      <c r="C10" s="2">
        <f t="shared" si="0"/>
        <v>4.5420415113575103</v>
      </c>
      <c r="D10" s="2">
        <f t="shared" si="1"/>
        <v>5.4733879673786685</v>
      </c>
      <c r="E10" s="2">
        <f>Table1[[#This Row],[MR Bar]]/1.128</f>
        <v>4.8522942973215155</v>
      </c>
      <c r="F10" s="2">
        <f>Table1[[#This Row],[I Bar]]+Table1[[#This Row],[I Sigma]]</f>
        <v>54.993172337546227</v>
      </c>
      <c r="G10" s="2">
        <f>Table1[[#This Row],[I Bar]]+2*Table1[[#This Row],[I Sigma]]</f>
        <v>59.845466634867748</v>
      </c>
      <c r="H10" s="2">
        <f>Table1[[#This Row],[I Bar]]+3*Table1[[#This Row],[I Sigma]]</f>
        <v>64.697760932189254</v>
      </c>
      <c r="I10" s="2">
        <f>Table1[[#This Row],[I Bar]]-Table1[[#This Row],[I Sigma]]</f>
        <v>45.288583742903199</v>
      </c>
      <c r="J10" s="2">
        <f>Table1[[#This Row],[I Bar]]-2*Table1[[#This Row],[I Sigma]]</f>
        <v>40.436289445581679</v>
      </c>
      <c r="K10" s="2">
        <f>Table1[[#This Row],[I Bar]]-3*Table1[[#This Row],[I Sigma]]</f>
        <v>35.583995148260165</v>
      </c>
      <c r="L10" s="2">
        <f>3.267*Table1[[#This Row],[MR Bar]]</f>
        <v>17.881558489426109</v>
      </c>
      <c r="M10" s="3">
        <v>0</v>
      </c>
    </row>
    <row r="11" spans="1:13" x14ac:dyDescent="0.25">
      <c r="A11" s="1">
        <v>52.112412636424409</v>
      </c>
      <c r="B11" s="2">
        <f>AVERAGE(Table1[I])</f>
        <v>50.140878040224713</v>
      </c>
      <c r="C11" s="2">
        <f t="shared" si="0"/>
        <v>3.8108155759821614</v>
      </c>
      <c r="D11" s="2">
        <f t="shared" si="1"/>
        <v>5.4961037345986981</v>
      </c>
      <c r="E11" s="2">
        <f>Table1[[#This Row],[MR Bar]]/1.128</f>
        <v>4.8724323888286332</v>
      </c>
      <c r="F11" s="2">
        <f>Table1[[#This Row],[I Bar]]+Table1[[#This Row],[I Sigma]]</f>
        <v>55.013310429053348</v>
      </c>
      <c r="G11" s="2">
        <f>Table1[[#This Row],[I Bar]]+2*Table1[[#This Row],[I Sigma]]</f>
        <v>59.885742817881976</v>
      </c>
      <c r="H11" s="2">
        <f>Table1[[#This Row],[I Bar]]+3*Table1[[#This Row],[I Sigma]]</f>
        <v>64.758175206710618</v>
      </c>
      <c r="I11" s="2">
        <f>Table1[[#This Row],[I Bar]]-Table1[[#This Row],[I Sigma]]</f>
        <v>45.268445651396078</v>
      </c>
      <c r="J11" s="2">
        <f>Table1[[#This Row],[I Bar]]-2*Table1[[#This Row],[I Sigma]]</f>
        <v>40.39601326256745</v>
      </c>
      <c r="K11" s="2">
        <f>Table1[[#This Row],[I Bar]]-3*Table1[[#This Row],[I Sigma]]</f>
        <v>35.523580873738815</v>
      </c>
      <c r="L11" s="2">
        <f>3.267*Table1[[#This Row],[MR Bar]]</f>
        <v>17.955770900933945</v>
      </c>
      <c r="M11" s="3">
        <v>0</v>
      </c>
    </row>
    <row r="12" spans="1:13" x14ac:dyDescent="0.25">
      <c r="A12" s="1">
        <v>48.301597060442248</v>
      </c>
      <c r="B12" s="2">
        <f>AVERAGE(Table1[I])</f>
        <v>50.140878040224713</v>
      </c>
      <c r="C12" s="2">
        <f t="shared" si="0"/>
        <v>5.4396259251164096</v>
      </c>
      <c r="D12" s="2">
        <f t="shared" si="1"/>
        <v>5.5382359385641111</v>
      </c>
      <c r="E12" s="2">
        <f>Table1[[#This Row],[MR Bar]]/1.128</f>
        <v>4.9097836334788223</v>
      </c>
      <c r="F12" s="2">
        <f>Table1[[#This Row],[I Bar]]+Table1[[#This Row],[I Sigma]]</f>
        <v>55.050661673703537</v>
      </c>
      <c r="G12" s="2">
        <f>Table1[[#This Row],[I Bar]]+2*Table1[[#This Row],[I Sigma]]</f>
        <v>59.960445307182354</v>
      </c>
      <c r="H12" s="2">
        <f>Table1[[#This Row],[I Bar]]+3*Table1[[#This Row],[I Sigma]]</f>
        <v>64.870228940661178</v>
      </c>
      <c r="I12" s="2">
        <f>Table1[[#This Row],[I Bar]]-Table1[[#This Row],[I Sigma]]</f>
        <v>45.231094406745889</v>
      </c>
      <c r="J12" s="2">
        <f>Table1[[#This Row],[I Bar]]-2*Table1[[#This Row],[I Sigma]]</f>
        <v>40.321310773267072</v>
      </c>
      <c r="K12" s="2">
        <f>Table1[[#This Row],[I Bar]]-3*Table1[[#This Row],[I Sigma]]</f>
        <v>35.411527139788248</v>
      </c>
      <c r="L12" s="2">
        <f>3.267*Table1[[#This Row],[MR Bar]]</f>
        <v>18.09341681128895</v>
      </c>
      <c r="M12" s="3">
        <v>0</v>
      </c>
    </row>
    <row r="13" spans="1:13" x14ac:dyDescent="0.25">
      <c r="A13" s="1">
        <v>53.741222985558657</v>
      </c>
      <c r="B13" s="2">
        <f>AVERAGE(Table1[I])</f>
        <v>50.140878040224713</v>
      </c>
      <c r="C13" s="2">
        <f t="shared" si="0"/>
        <v>0.4763034153653507</v>
      </c>
      <c r="D13" s="2">
        <f t="shared" si="1"/>
        <v>5.5407644004473857</v>
      </c>
      <c r="E13" s="2">
        <f>Table1[[#This Row],[MR Bar]]/1.128</f>
        <v>4.912025177701584</v>
      </c>
      <c r="F13" s="2">
        <f>Table1[[#This Row],[I Bar]]+Table1[[#This Row],[I Sigma]]</f>
        <v>55.0529032179263</v>
      </c>
      <c r="G13" s="2">
        <f>Table1[[#This Row],[I Bar]]+2*Table1[[#This Row],[I Sigma]]</f>
        <v>59.964928395627879</v>
      </c>
      <c r="H13" s="2">
        <f>Table1[[#This Row],[I Bar]]+3*Table1[[#This Row],[I Sigma]]</f>
        <v>64.876953573329473</v>
      </c>
      <c r="I13" s="2">
        <f>Table1[[#This Row],[I Bar]]-Table1[[#This Row],[I Sigma]]</f>
        <v>45.228852862523127</v>
      </c>
      <c r="J13" s="2">
        <f>Table1[[#This Row],[I Bar]]-2*Table1[[#This Row],[I Sigma]]</f>
        <v>40.316827684821547</v>
      </c>
      <c r="K13" s="2">
        <f>Table1[[#This Row],[I Bar]]-3*Table1[[#This Row],[I Sigma]]</f>
        <v>35.40480250711996</v>
      </c>
      <c r="L13" s="2">
        <f>3.267*Table1[[#This Row],[MR Bar]]</f>
        <v>18.101677296261609</v>
      </c>
      <c r="M13" s="3">
        <v>0</v>
      </c>
    </row>
    <row r="14" spans="1:13" x14ac:dyDescent="0.25">
      <c r="A14" s="1">
        <v>54.217526400924008</v>
      </c>
      <c r="B14" s="2">
        <f>AVERAGE(Table1[I])</f>
        <v>50.140878040224713</v>
      </c>
      <c r="C14" s="2">
        <f t="shared" si="0"/>
        <v>2.4615147919043991</v>
      </c>
      <c r="D14" s="2">
        <f t="shared" si="1"/>
        <v>5.6740396895284917</v>
      </c>
      <c r="E14" s="2">
        <f>Table1[[#This Row],[MR Bar]]/1.128</f>
        <v>5.0301770297238404</v>
      </c>
      <c r="F14" s="2">
        <f>Table1[[#This Row],[I Bar]]+Table1[[#This Row],[I Sigma]]</f>
        <v>55.171055069948551</v>
      </c>
      <c r="G14" s="2">
        <f>Table1[[#This Row],[I Bar]]+2*Table1[[#This Row],[I Sigma]]</f>
        <v>60.201232099672396</v>
      </c>
      <c r="H14" s="2">
        <f>Table1[[#This Row],[I Bar]]+3*Table1[[#This Row],[I Sigma]]</f>
        <v>65.231409129396241</v>
      </c>
      <c r="I14" s="2">
        <f>Table1[[#This Row],[I Bar]]-Table1[[#This Row],[I Sigma]]</f>
        <v>45.110701010500875</v>
      </c>
      <c r="J14" s="2">
        <f>Table1[[#This Row],[I Bar]]-2*Table1[[#This Row],[I Sigma]]</f>
        <v>40.080523980777031</v>
      </c>
      <c r="K14" s="2">
        <f>Table1[[#This Row],[I Bar]]-3*Table1[[#This Row],[I Sigma]]</f>
        <v>35.050346951053193</v>
      </c>
      <c r="L14" s="2">
        <f>3.267*Table1[[#This Row],[MR Bar]]</f>
        <v>18.537087665689583</v>
      </c>
      <c r="M14" s="3">
        <v>0</v>
      </c>
    </row>
    <row r="15" spans="1:13" x14ac:dyDescent="0.25">
      <c r="A15" s="1">
        <v>51.756011609019609</v>
      </c>
      <c r="B15" s="2">
        <f>AVERAGE(Table1[I])</f>
        <v>50.140878040224713</v>
      </c>
      <c r="C15" s="2">
        <f t="shared" si="0"/>
        <v>16.254201710742933</v>
      </c>
      <c r="D15" s="2">
        <f t="shared" si="1"/>
        <v>5.7608646867615763</v>
      </c>
      <c r="E15" s="2">
        <f>Table1[[#This Row],[MR Bar]]/1.128</f>
        <v>5.1071495450013975</v>
      </c>
      <c r="F15" s="2">
        <f>Table1[[#This Row],[I Bar]]+Table1[[#This Row],[I Sigma]]</f>
        <v>55.248027585226112</v>
      </c>
      <c r="G15" s="2">
        <f>Table1[[#This Row],[I Bar]]+2*Table1[[#This Row],[I Sigma]]</f>
        <v>60.35517713022751</v>
      </c>
      <c r="H15" s="2">
        <f>Table1[[#This Row],[I Bar]]+3*Table1[[#This Row],[I Sigma]]</f>
        <v>65.462326675228908</v>
      </c>
      <c r="I15" s="2">
        <f>Table1[[#This Row],[I Bar]]-Table1[[#This Row],[I Sigma]]</f>
        <v>45.033728495223315</v>
      </c>
      <c r="J15" s="2">
        <f>Table1[[#This Row],[I Bar]]-2*Table1[[#This Row],[I Sigma]]</f>
        <v>39.926578950221916</v>
      </c>
      <c r="K15" s="2">
        <f>Table1[[#This Row],[I Bar]]-3*Table1[[#This Row],[I Sigma]]</f>
        <v>34.819429405220518</v>
      </c>
      <c r="L15" s="2">
        <f>3.267*Table1[[#This Row],[MR Bar]]</f>
        <v>18.820744931650069</v>
      </c>
      <c r="M15" s="3">
        <v>0</v>
      </c>
    </row>
    <row r="16" spans="1:13" x14ac:dyDescent="0.25">
      <c r="A16" s="1">
        <v>35.501809898276676</v>
      </c>
      <c r="B16" s="2">
        <f>AVERAGE(Table1[I])</f>
        <v>50.140878040224713</v>
      </c>
      <c r="C16" s="2">
        <f t="shared" si="0"/>
        <v>15.733045667548652</v>
      </c>
      <c r="D16" s="2">
        <f t="shared" si="1"/>
        <v>5.4693831027620927</v>
      </c>
      <c r="E16" s="2">
        <f>Table1[[#This Row],[MR Bar]]/1.128</f>
        <v>4.8487438854273872</v>
      </c>
      <c r="F16" s="2">
        <f>Table1[[#This Row],[I Bar]]+Table1[[#This Row],[I Sigma]]</f>
        <v>54.989621925652102</v>
      </c>
      <c r="G16" s="2">
        <f>Table1[[#This Row],[I Bar]]+2*Table1[[#This Row],[I Sigma]]</f>
        <v>59.838365811079484</v>
      </c>
      <c r="H16" s="2">
        <f>Table1[[#This Row],[I Bar]]+3*Table1[[#This Row],[I Sigma]]</f>
        <v>64.68710969650688</v>
      </c>
      <c r="I16" s="2">
        <f>Table1[[#This Row],[I Bar]]-Table1[[#This Row],[I Sigma]]</f>
        <v>45.292134154797324</v>
      </c>
      <c r="J16" s="2">
        <f>Table1[[#This Row],[I Bar]]-2*Table1[[#This Row],[I Sigma]]</f>
        <v>40.443390269369942</v>
      </c>
      <c r="K16" s="2">
        <f>Table1[[#This Row],[I Bar]]-3*Table1[[#This Row],[I Sigma]]</f>
        <v>35.594646383942553</v>
      </c>
      <c r="L16" s="2">
        <f>3.267*Table1[[#This Row],[MR Bar]]</f>
        <v>17.868474596723757</v>
      </c>
      <c r="M16" s="3">
        <v>0</v>
      </c>
    </row>
    <row r="17" spans="1:13" x14ac:dyDescent="0.25">
      <c r="A17" s="1">
        <v>51.234855565825328</v>
      </c>
      <c r="B17" s="2">
        <f>AVERAGE(Table1[I])</f>
        <v>50.140878040224713</v>
      </c>
      <c r="C17" s="2">
        <f t="shared" si="0"/>
        <v>1.6464825254746174</v>
      </c>
      <c r="D17" s="2">
        <f t="shared" si="1"/>
        <v>5.1761356009110484</v>
      </c>
      <c r="E17" s="2">
        <f>Table1[[#This Row],[MR Bar]]/1.128</f>
        <v>4.5887726958431285</v>
      </c>
      <c r="F17" s="2">
        <f>Table1[[#This Row],[I Bar]]+Table1[[#This Row],[I Sigma]]</f>
        <v>54.729650736067839</v>
      </c>
      <c r="G17" s="2">
        <f>Table1[[#This Row],[I Bar]]+2*Table1[[#This Row],[I Sigma]]</f>
        <v>59.318423431910972</v>
      </c>
      <c r="H17" s="2">
        <f>Table1[[#This Row],[I Bar]]+3*Table1[[#This Row],[I Sigma]]</f>
        <v>63.907196127754098</v>
      </c>
      <c r="I17" s="2">
        <f>Table1[[#This Row],[I Bar]]-Table1[[#This Row],[I Sigma]]</f>
        <v>45.552105344381587</v>
      </c>
      <c r="J17" s="2">
        <f>Table1[[#This Row],[I Bar]]-2*Table1[[#This Row],[I Sigma]]</f>
        <v>40.963332648538454</v>
      </c>
      <c r="K17" s="2">
        <f>Table1[[#This Row],[I Bar]]-3*Table1[[#This Row],[I Sigma]]</f>
        <v>36.374559952695328</v>
      </c>
      <c r="L17" s="2">
        <f>3.267*Table1[[#This Row],[MR Bar]]</f>
        <v>16.910435008176396</v>
      </c>
      <c r="M17" s="3">
        <v>0</v>
      </c>
    </row>
    <row r="18" spans="1:13" x14ac:dyDescent="0.25">
      <c r="A18" s="1">
        <v>49.58837304035071</v>
      </c>
      <c r="B18" s="2">
        <f>AVERAGE(Table1[I])</f>
        <v>50.140878040224713</v>
      </c>
      <c r="C18" s="2">
        <f t="shared" si="0"/>
        <v>1.9942895978870041</v>
      </c>
      <c r="D18" s="2">
        <f t="shared" si="1"/>
        <v>5.2799489266591797</v>
      </c>
      <c r="E18" s="2">
        <f>Table1[[#This Row],[MR Bar]]/1.128</f>
        <v>4.6808057860453722</v>
      </c>
      <c r="F18" s="2">
        <f>Table1[[#This Row],[I Bar]]+Table1[[#This Row],[I Sigma]]</f>
        <v>54.821683826270089</v>
      </c>
      <c r="G18" s="2">
        <f>Table1[[#This Row],[I Bar]]+2*Table1[[#This Row],[I Sigma]]</f>
        <v>59.502489612315458</v>
      </c>
      <c r="H18" s="2">
        <f>Table1[[#This Row],[I Bar]]+3*Table1[[#This Row],[I Sigma]]</f>
        <v>64.183295398360826</v>
      </c>
      <c r="I18" s="2">
        <f>Table1[[#This Row],[I Bar]]-Table1[[#This Row],[I Sigma]]</f>
        <v>45.460072254179337</v>
      </c>
      <c r="J18" s="2">
        <f>Table1[[#This Row],[I Bar]]-2*Table1[[#This Row],[I Sigma]]</f>
        <v>40.779266468133969</v>
      </c>
      <c r="K18" s="2">
        <f>Table1[[#This Row],[I Bar]]-3*Table1[[#This Row],[I Sigma]]</f>
        <v>36.0984606820886</v>
      </c>
      <c r="L18" s="2">
        <f>3.267*Table1[[#This Row],[MR Bar]]</f>
        <v>17.24959314339554</v>
      </c>
      <c r="M18" s="3">
        <v>0</v>
      </c>
    </row>
    <row r="19" spans="1:13" x14ac:dyDescent="0.25">
      <c r="A19" s="1">
        <v>47.594083442463706</v>
      </c>
      <c r="B19" s="2">
        <f>AVERAGE(Table1[I])</f>
        <v>50.140878040224713</v>
      </c>
      <c r="C19" s="2">
        <f t="shared" si="0"/>
        <v>2.5621311585556725</v>
      </c>
      <c r="D19" s="2">
        <f t="shared" si="1"/>
        <v>5.3795143608643965</v>
      </c>
      <c r="E19" s="2">
        <f>Table1[[#This Row],[MR Bar]]/1.128</f>
        <v>4.769073014950707</v>
      </c>
      <c r="F19" s="2">
        <f>Table1[[#This Row],[I Bar]]+Table1[[#This Row],[I Sigma]]</f>
        <v>54.909951055175419</v>
      </c>
      <c r="G19" s="2">
        <f>Table1[[#This Row],[I Bar]]+2*Table1[[#This Row],[I Sigma]]</f>
        <v>59.679024070126125</v>
      </c>
      <c r="H19" s="2">
        <f>Table1[[#This Row],[I Bar]]+3*Table1[[#This Row],[I Sigma]]</f>
        <v>64.448097085076839</v>
      </c>
      <c r="I19" s="2">
        <f>Table1[[#This Row],[I Bar]]-Table1[[#This Row],[I Sigma]]</f>
        <v>45.371805025274007</v>
      </c>
      <c r="J19" s="2">
        <f>Table1[[#This Row],[I Bar]]-2*Table1[[#This Row],[I Sigma]]</f>
        <v>40.602732010323301</v>
      </c>
      <c r="K19" s="2">
        <f>Table1[[#This Row],[I Bar]]-3*Table1[[#This Row],[I Sigma]]</f>
        <v>35.833658995372588</v>
      </c>
      <c r="L19" s="2">
        <f>3.267*Table1[[#This Row],[MR Bar]]</f>
        <v>17.574873416943984</v>
      </c>
      <c r="M19" s="3">
        <v>0</v>
      </c>
    </row>
    <row r="20" spans="1:13" x14ac:dyDescent="0.25">
      <c r="A20" s="1">
        <v>45.031952283908034</v>
      </c>
      <c r="B20" s="2">
        <f>AVERAGE(Table1[I])</f>
        <v>50.140878040224713</v>
      </c>
      <c r="C20" s="2">
        <f t="shared" si="0"/>
        <v>10.699184828828017</v>
      </c>
      <c r="D20" s="2">
        <f t="shared" si="1"/>
        <v>5.4675575859365431</v>
      </c>
      <c r="E20" s="2">
        <f>Table1[[#This Row],[MR Bar]]/1.128</f>
        <v>4.8471255194472906</v>
      </c>
      <c r="F20" s="2">
        <f>Table1[[#This Row],[I Bar]]+Table1[[#This Row],[I Sigma]]</f>
        <v>54.988003559672002</v>
      </c>
      <c r="G20" s="2">
        <f>Table1[[#This Row],[I Bar]]+2*Table1[[#This Row],[I Sigma]]</f>
        <v>59.835129079119298</v>
      </c>
      <c r="H20" s="2">
        <f>Table1[[#This Row],[I Bar]]+3*Table1[[#This Row],[I Sigma]]</f>
        <v>64.682254598566587</v>
      </c>
      <c r="I20" s="2">
        <f>Table1[[#This Row],[I Bar]]-Table1[[#This Row],[I Sigma]]</f>
        <v>45.293752520777424</v>
      </c>
      <c r="J20" s="2">
        <f>Table1[[#This Row],[I Bar]]-2*Table1[[#This Row],[I Sigma]]</f>
        <v>40.446627001330128</v>
      </c>
      <c r="K20" s="2">
        <f>Table1[[#This Row],[I Bar]]-3*Table1[[#This Row],[I Sigma]]</f>
        <v>35.599501481882839</v>
      </c>
      <c r="L20" s="2">
        <f>3.267*Table1[[#This Row],[MR Bar]]</f>
        <v>17.862510633254686</v>
      </c>
      <c r="M20" s="3">
        <v>0</v>
      </c>
    </row>
    <row r="21" spans="1:13" x14ac:dyDescent="0.25">
      <c r="A21" s="1">
        <v>55.73113711273605</v>
      </c>
      <c r="B21" s="2">
        <f>AVERAGE(Table1[I])</f>
        <v>50.140878040224713</v>
      </c>
      <c r="C21" s="2">
        <f t="shared" si="0"/>
        <v>9.8886617795228986</v>
      </c>
      <c r="D21" s="2">
        <f t="shared" si="1"/>
        <v>5.2987954168110107</v>
      </c>
      <c r="E21" s="2">
        <f>Table1[[#This Row],[MR Bar]]/1.128</f>
        <v>4.6975136673856479</v>
      </c>
      <c r="F21" s="2">
        <f>Table1[[#This Row],[I Bar]]+Table1[[#This Row],[I Sigma]]</f>
        <v>54.838391707610363</v>
      </c>
      <c r="G21" s="2">
        <f>Table1[[#This Row],[I Bar]]+2*Table1[[#This Row],[I Sigma]]</f>
        <v>59.535905374996005</v>
      </c>
      <c r="H21" s="2">
        <f>Table1[[#This Row],[I Bar]]+3*Table1[[#This Row],[I Sigma]]</f>
        <v>64.233419042381655</v>
      </c>
      <c r="I21" s="2">
        <f>Table1[[#This Row],[I Bar]]-Table1[[#This Row],[I Sigma]]</f>
        <v>45.443364372839063</v>
      </c>
      <c r="J21" s="2">
        <f>Table1[[#This Row],[I Bar]]-2*Table1[[#This Row],[I Sigma]]</f>
        <v>40.745850705453421</v>
      </c>
      <c r="K21" s="2">
        <f>Table1[[#This Row],[I Bar]]-3*Table1[[#This Row],[I Sigma]]</f>
        <v>36.048337038067771</v>
      </c>
      <c r="L21" s="2">
        <f>3.267*Table1[[#This Row],[MR Bar]]</f>
        <v>17.31116462672157</v>
      </c>
      <c r="M21" s="3">
        <v>0</v>
      </c>
    </row>
    <row r="22" spans="1:13" x14ac:dyDescent="0.25">
      <c r="A22" s="1">
        <v>45.842475333213152</v>
      </c>
      <c r="B22" s="2">
        <f>AVERAGE(Table1[I])</f>
        <v>50.140878040224713</v>
      </c>
      <c r="C22" s="2">
        <f t="shared" si="0"/>
        <v>8.585327615894613</v>
      </c>
      <c r="D22" s="2">
        <f t="shared" si="1"/>
        <v>5.1457998713872808</v>
      </c>
      <c r="E22" s="2">
        <f>Table1[[#This Row],[MR Bar]]/1.128</f>
        <v>4.5618793186057456</v>
      </c>
      <c r="F22" s="2">
        <f>Table1[[#This Row],[I Bar]]+Table1[[#This Row],[I Sigma]]</f>
        <v>54.702757358830461</v>
      </c>
      <c r="G22" s="2">
        <f>Table1[[#This Row],[I Bar]]+2*Table1[[#This Row],[I Sigma]]</f>
        <v>59.264636677436201</v>
      </c>
      <c r="H22" s="2">
        <f>Table1[[#This Row],[I Bar]]+3*Table1[[#This Row],[I Sigma]]</f>
        <v>63.826515996041948</v>
      </c>
      <c r="I22" s="2">
        <f>Table1[[#This Row],[I Bar]]-Table1[[#This Row],[I Sigma]]</f>
        <v>45.578998721618966</v>
      </c>
      <c r="J22" s="2">
        <f>Table1[[#This Row],[I Bar]]-2*Table1[[#This Row],[I Sigma]]</f>
        <v>41.017119403013226</v>
      </c>
      <c r="K22" s="2">
        <f>Table1[[#This Row],[I Bar]]-3*Table1[[#This Row],[I Sigma]]</f>
        <v>36.455240084407478</v>
      </c>
      <c r="L22" s="2">
        <f>3.267*Table1[[#This Row],[MR Bar]]</f>
        <v>16.811328179822247</v>
      </c>
      <c r="M22" s="3">
        <v>0</v>
      </c>
    </row>
    <row r="23" spans="1:13" x14ac:dyDescent="0.25">
      <c r="A23" s="1">
        <v>37.257147717318539</v>
      </c>
      <c r="B23" s="2">
        <f>AVERAGE(Table1[I])</f>
        <v>50.140878040224713</v>
      </c>
      <c r="C23" s="2">
        <f t="shared" si="0"/>
        <v>13.379139294689601</v>
      </c>
      <c r="D23" s="2">
        <f t="shared" si="1"/>
        <v>5.0271954664042706</v>
      </c>
      <c r="E23" s="2">
        <f>Table1[[#This Row],[MR Bar]]/1.128</f>
        <v>4.4567335695073327</v>
      </c>
      <c r="F23" s="2">
        <f>Table1[[#This Row],[I Bar]]+Table1[[#This Row],[I Sigma]]</f>
        <v>54.597611609732049</v>
      </c>
      <c r="G23" s="2">
        <f>Table1[[#This Row],[I Bar]]+2*Table1[[#This Row],[I Sigma]]</f>
        <v>59.054345179239377</v>
      </c>
      <c r="H23" s="2">
        <f>Table1[[#This Row],[I Bar]]+3*Table1[[#This Row],[I Sigma]]</f>
        <v>63.511078748746712</v>
      </c>
      <c r="I23" s="2">
        <f>Table1[[#This Row],[I Bar]]-Table1[[#This Row],[I Sigma]]</f>
        <v>45.684144470717378</v>
      </c>
      <c r="J23" s="2">
        <f>Table1[[#This Row],[I Bar]]-2*Table1[[#This Row],[I Sigma]]</f>
        <v>41.22741090121005</v>
      </c>
      <c r="K23" s="2">
        <f>Table1[[#This Row],[I Bar]]-3*Table1[[#This Row],[I Sigma]]</f>
        <v>36.770677331702714</v>
      </c>
      <c r="L23" s="2">
        <f>3.267*Table1[[#This Row],[MR Bar]]</f>
        <v>16.423847588742753</v>
      </c>
      <c r="M23" s="3">
        <v>0</v>
      </c>
    </row>
    <row r="24" spans="1:13" x14ac:dyDescent="0.25">
      <c r="A24" s="1">
        <v>50.63628701200814</v>
      </c>
      <c r="B24" s="2">
        <f>AVERAGE(Table1[I])</f>
        <v>50.140878040224713</v>
      </c>
      <c r="C24" s="2">
        <f t="shared" si="0"/>
        <v>3.6400376657806603</v>
      </c>
      <c r="D24" s="2">
        <f t="shared" si="1"/>
        <v>4.728911758251221</v>
      </c>
      <c r="E24" s="2">
        <f>Table1[[#This Row],[MR Bar]]/1.128</f>
        <v>4.1922976580241329</v>
      </c>
      <c r="F24" s="2">
        <f>Table1[[#This Row],[I Bar]]+Table1[[#This Row],[I Sigma]]</f>
        <v>54.333175698248844</v>
      </c>
      <c r="G24" s="2">
        <f>Table1[[#This Row],[I Bar]]+2*Table1[[#This Row],[I Sigma]]</f>
        <v>58.525473356272983</v>
      </c>
      <c r="H24" s="2">
        <f>Table1[[#This Row],[I Bar]]+3*Table1[[#This Row],[I Sigma]]</f>
        <v>62.717771014297114</v>
      </c>
      <c r="I24" s="2">
        <f>Table1[[#This Row],[I Bar]]-Table1[[#This Row],[I Sigma]]</f>
        <v>45.948580382200582</v>
      </c>
      <c r="J24" s="2">
        <f>Table1[[#This Row],[I Bar]]-2*Table1[[#This Row],[I Sigma]]</f>
        <v>41.756282724176444</v>
      </c>
      <c r="K24" s="2">
        <f>Table1[[#This Row],[I Bar]]-3*Table1[[#This Row],[I Sigma]]</f>
        <v>37.563985066152313</v>
      </c>
      <c r="L24" s="2">
        <f>3.267*Table1[[#This Row],[MR Bar]]</f>
        <v>15.449354714206738</v>
      </c>
      <c r="M24" s="3">
        <v>0</v>
      </c>
    </row>
    <row r="25" spans="1:13" x14ac:dyDescent="0.25">
      <c r="A25" s="1">
        <v>46.996249346227479</v>
      </c>
      <c r="B25" s="2">
        <f>AVERAGE(Table1[I])</f>
        <v>50.140878040224713</v>
      </c>
      <c r="C25" s="2">
        <f t="shared" si="0"/>
        <v>3.7914165182423005</v>
      </c>
      <c r="D25" s="2">
        <f t="shared" si="1"/>
        <v>4.769240428342723</v>
      </c>
      <c r="E25" s="2">
        <f>Table1[[#This Row],[MR Bar]]/1.128</f>
        <v>4.2280500251265281</v>
      </c>
      <c r="F25" s="2">
        <f>Table1[[#This Row],[I Bar]]+Table1[[#This Row],[I Sigma]]</f>
        <v>54.368928065351241</v>
      </c>
      <c r="G25" s="2">
        <f>Table1[[#This Row],[I Bar]]+2*Table1[[#This Row],[I Sigma]]</f>
        <v>58.596978090477769</v>
      </c>
      <c r="H25" s="2">
        <f>Table1[[#This Row],[I Bar]]+3*Table1[[#This Row],[I Sigma]]</f>
        <v>62.825028115604297</v>
      </c>
      <c r="I25" s="2">
        <f>Table1[[#This Row],[I Bar]]-Table1[[#This Row],[I Sigma]]</f>
        <v>45.912828015098185</v>
      </c>
      <c r="J25" s="2">
        <f>Table1[[#This Row],[I Bar]]-2*Table1[[#This Row],[I Sigma]]</f>
        <v>41.684777989971657</v>
      </c>
      <c r="K25" s="2">
        <f>Table1[[#This Row],[I Bar]]-3*Table1[[#This Row],[I Sigma]]</f>
        <v>37.456727964845129</v>
      </c>
      <c r="L25" s="2">
        <f>3.267*Table1[[#This Row],[MR Bar]]</f>
        <v>15.581108479395676</v>
      </c>
      <c r="M25" s="3">
        <v>0</v>
      </c>
    </row>
    <row r="26" spans="1:13" x14ac:dyDescent="0.25">
      <c r="A26" s="1">
        <v>50.78766586446978</v>
      </c>
      <c r="B26" s="2">
        <f>AVERAGE(Table1[I])</f>
        <v>50.140878040224713</v>
      </c>
      <c r="C26" s="2">
        <f t="shared" si="0"/>
        <v>3.3414558269413916</v>
      </c>
      <c r="D26" s="2">
        <f t="shared" si="1"/>
        <v>4.8068490402696629</v>
      </c>
      <c r="E26" s="2">
        <f>Table1[[#This Row],[MR Bar]]/1.128</f>
        <v>4.2613909931468648</v>
      </c>
      <c r="F26" s="2">
        <f>Table1[[#This Row],[I Bar]]+Table1[[#This Row],[I Sigma]]</f>
        <v>54.402269033371581</v>
      </c>
      <c r="G26" s="2">
        <f>Table1[[#This Row],[I Bar]]+2*Table1[[#This Row],[I Sigma]]</f>
        <v>58.663660026518443</v>
      </c>
      <c r="H26" s="2">
        <f>Table1[[#This Row],[I Bar]]+3*Table1[[#This Row],[I Sigma]]</f>
        <v>62.925051019665304</v>
      </c>
      <c r="I26" s="2">
        <f>Table1[[#This Row],[I Bar]]-Table1[[#This Row],[I Sigma]]</f>
        <v>45.879487047077845</v>
      </c>
      <c r="J26" s="2">
        <f>Table1[[#This Row],[I Bar]]-2*Table1[[#This Row],[I Sigma]]</f>
        <v>41.618096053930984</v>
      </c>
      <c r="K26" s="2">
        <f>Table1[[#This Row],[I Bar]]-3*Table1[[#This Row],[I Sigma]]</f>
        <v>37.356705060784122</v>
      </c>
      <c r="L26" s="2">
        <f>3.267*Table1[[#This Row],[MR Bar]]</f>
        <v>15.703975814560987</v>
      </c>
      <c r="M26" s="3">
        <v>0</v>
      </c>
    </row>
    <row r="27" spans="1:13" x14ac:dyDescent="0.25">
      <c r="A27" s="1">
        <v>47.446210037528388</v>
      </c>
      <c r="B27" s="2">
        <f>AVERAGE(Table1[I])</f>
        <v>50.140878040224713</v>
      </c>
      <c r="C27" s="2">
        <f t="shared" si="0"/>
        <v>6.024466206566089</v>
      </c>
      <c r="D27" s="2">
        <f t="shared" si="1"/>
        <v>4.8654647688027941</v>
      </c>
      <c r="E27" s="2">
        <f>Table1[[#This Row],[MR Bar]]/1.128</f>
        <v>4.3133552914918392</v>
      </c>
      <c r="F27" s="2">
        <f>Table1[[#This Row],[I Bar]]+Table1[[#This Row],[I Sigma]]</f>
        <v>54.454233331716551</v>
      </c>
      <c r="G27" s="2">
        <f>Table1[[#This Row],[I Bar]]+2*Table1[[#This Row],[I Sigma]]</f>
        <v>58.76758862320839</v>
      </c>
      <c r="H27" s="2">
        <f>Table1[[#This Row],[I Bar]]+3*Table1[[#This Row],[I Sigma]]</f>
        <v>63.080943914700228</v>
      </c>
      <c r="I27" s="2">
        <f>Table1[[#This Row],[I Bar]]-Table1[[#This Row],[I Sigma]]</f>
        <v>45.827522748732875</v>
      </c>
      <c r="J27" s="2">
        <f>Table1[[#This Row],[I Bar]]-2*Table1[[#This Row],[I Sigma]]</f>
        <v>41.514167457241037</v>
      </c>
      <c r="K27" s="2">
        <f>Table1[[#This Row],[I Bar]]-3*Table1[[#This Row],[I Sigma]]</f>
        <v>37.200812165749198</v>
      </c>
      <c r="L27" s="2">
        <f>3.267*Table1[[#This Row],[MR Bar]]</f>
        <v>15.895473399678728</v>
      </c>
      <c r="M27" s="3">
        <v>0</v>
      </c>
    </row>
    <row r="28" spans="1:13" x14ac:dyDescent="0.25">
      <c r="A28" s="1">
        <v>53.470676244094477</v>
      </c>
      <c r="B28" s="2">
        <f>AVERAGE(Table1[I])</f>
        <v>50.140878040224713</v>
      </c>
      <c r="C28" s="2">
        <f t="shared" si="0"/>
        <v>1.0221990080617687</v>
      </c>
      <c r="D28" s="2">
        <f t="shared" si="1"/>
        <v>4.8171730422293235</v>
      </c>
      <c r="E28" s="2">
        <f>Table1[[#This Row],[MR Bar]]/1.128</f>
        <v>4.2705434771536561</v>
      </c>
      <c r="F28" s="2">
        <f>Table1[[#This Row],[I Bar]]+Table1[[#This Row],[I Sigma]]</f>
        <v>54.411421517378372</v>
      </c>
      <c r="G28" s="2">
        <f>Table1[[#This Row],[I Bar]]+2*Table1[[#This Row],[I Sigma]]</f>
        <v>58.681964994532024</v>
      </c>
      <c r="H28" s="2">
        <f>Table1[[#This Row],[I Bar]]+3*Table1[[#This Row],[I Sigma]]</f>
        <v>62.952508471685682</v>
      </c>
      <c r="I28" s="2">
        <f>Table1[[#This Row],[I Bar]]-Table1[[#This Row],[I Sigma]]</f>
        <v>45.870334563071054</v>
      </c>
      <c r="J28" s="2">
        <f>Table1[[#This Row],[I Bar]]-2*Table1[[#This Row],[I Sigma]]</f>
        <v>41.599791085917403</v>
      </c>
      <c r="K28" s="2">
        <f>Table1[[#This Row],[I Bar]]-3*Table1[[#This Row],[I Sigma]]</f>
        <v>37.329247608763744</v>
      </c>
      <c r="L28" s="2">
        <f>3.267*Table1[[#This Row],[MR Bar]]</f>
        <v>15.737704328963199</v>
      </c>
      <c r="M28" s="3">
        <v>0</v>
      </c>
    </row>
    <row r="29" spans="1:13" x14ac:dyDescent="0.25">
      <c r="A29" s="1">
        <v>54.492875252156246</v>
      </c>
      <c r="B29" s="2">
        <f>AVERAGE(Table1[I])</f>
        <v>50.140878040224713</v>
      </c>
      <c r="C29" s="2">
        <f t="shared" si="0"/>
        <v>6.7777651227093401</v>
      </c>
      <c r="D29" s="2">
        <f t="shared" si="1"/>
        <v>4.9821719132800864</v>
      </c>
      <c r="E29" s="2">
        <f>Table1[[#This Row],[MR Bar]]/1.128</f>
        <v>4.4168190720568141</v>
      </c>
      <c r="F29" s="2">
        <f>Table1[[#This Row],[I Bar]]+Table1[[#This Row],[I Sigma]]</f>
        <v>54.557697112281531</v>
      </c>
      <c r="G29" s="2">
        <f>Table1[[#This Row],[I Bar]]+2*Table1[[#This Row],[I Sigma]]</f>
        <v>58.974516184338341</v>
      </c>
      <c r="H29" s="2">
        <f>Table1[[#This Row],[I Bar]]+3*Table1[[#This Row],[I Sigma]]</f>
        <v>63.391335256395152</v>
      </c>
      <c r="I29" s="2">
        <f>Table1[[#This Row],[I Bar]]-Table1[[#This Row],[I Sigma]]</f>
        <v>45.724058968167896</v>
      </c>
      <c r="J29" s="2">
        <f>Table1[[#This Row],[I Bar]]-2*Table1[[#This Row],[I Sigma]]</f>
        <v>41.307239896111085</v>
      </c>
      <c r="K29" s="2">
        <f>Table1[[#This Row],[I Bar]]-3*Table1[[#This Row],[I Sigma]]</f>
        <v>36.890420824054274</v>
      </c>
      <c r="L29" s="2">
        <f>3.267*Table1[[#This Row],[MR Bar]]</f>
        <v>16.276755640686041</v>
      </c>
      <c r="M29" s="3">
        <v>0</v>
      </c>
    </row>
    <row r="30" spans="1:13" x14ac:dyDescent="0.25">
      <c r="A30" s="1">
        <v>47.715110129446906</v>
      </c>
      <c r="B30" s="2">
        <f>AVERAGE(Table1[I])</f>
        <v>50.140878040224713</v>
      </c>
      <c r="C30" s="2">
        <f t="shared" si="0"/>
        <v>5.0273783666238856</v>
      </c>
      <c r="D30" s="2">
        <f t="shared" si="1"/>
        <v>4.900554040124212</v>
      </c>
      <c r="E30" s="2">
        <f>Table1[[#This Row],[MR Bar]]/1.128</f>
        <v>4.3444628015285573</v>
      </c>
      <c r="F30" s="2">
        <f>Table1[[#This Row],[I Bar]]+Table1[[#This Row],[I Sigma]]</f>
        <v>54.485340841753271</v>
      </c>
      <c r="G30" s="2">
        <f>Table1[[#This Row],[I Bar]]+2*Table1[[#This Row],[I Sigma]]</f>
        <v>58.829803643281828</v>
      </c>
      <c r="H30" s="2">
        <f>Table1[[#This Row],[I Bar]]+3*Table1[[#This Row],[I Sigma]]</f>
        <v>63.174266444810385</v>
      </c>
      <c r="I30" s="2">
        <f>Table1[[#This Row],[I Bar]]-Table1[[#This Row],[I Sigma]]</f>
        <v>45.796415238696156</v>
      </c>
      <c r="J30" s="2">
        <f>Table1[[#This Row],[I Bar]]-2*Table1[[#This Row],[I Sigma]]</f>
        <v>41.451952437167598</v>
      </c>
      <c r="K30" s="2">
        <f>Table1[[#This Row],[I Bar]]-3*Table1[[#This Row],[I Sigma]]</f>
        <v>37.107489635639041</v>
      </c>
      <c r="L30" s="2">
        <f>3.267*Table1[[#This Row],[MR Bar]]</f>
        <v>16.010110049085799</v>
      </c>
      <c r="M30" s="3">
        <v>0</v>
      </c>
    </row>
    <row r="31" spans="1:13" x14ac:dyDescent="0.25">
      <c r="A31" s="1">
        <v>52.742488496070791</v>
      </c>
      <c r="B31" s="2">
        <f>AVERAGE(Table1[I])</f>
        <v>50.140878040224713</v>
      </c>
      <c r="C31" s="2">
        <f t="shared" si="0"/>
        <v>5.8762986866900349</v>
      </c>
      <c r="D31" s="2">
        <f t="shared" si="1"/>
        <v>4.8945147864813707</v>
      </c>
      <c r="E31" s="2">
        <f>Table1[[#This Row],[MR Bar]]/1.128</f>
        <v>4.3391088532636273</v>
      </c>
      <c r="F31" s="2">
        <f>Table1[[#This Row],[I Bar]]+Table1[[#This Row],[I Sigma]]</f>
        <v>54.479986893488338</v>
      </c>
      <c r="G31" s="2">
        <f>Table1[[#This Row],[I Bar]]+2*Table1[[#This Row],[I Sigma]]</f>
        <v>58.81909574675197</v>
      </c>
      <c r="H31" s="2">
        <f>Table1[[#This Row],[I Bar]]+3*Table1[[#This Row],[I Sigma]]</f>
        <v>63.158204600015594</v>
      </c>
      <c r="I31" s="2">
        <f>Table1[[#This Row],[I Bar]]-Table1[[#This Row],[I Sigma]]</f>
        <v>45.801769186961089</v>
      </c>
      <c r="J31" s="2">
        <f>Table1[[#This Row],[I Bar]]-2*Table1[[#This Row],[I Sigma]]</f>
        <v>41.462660333697457</v>
      </c>
      <c r="K31" s="2">
        <f>Table1[[#This Row],[I Bar]]-3*Table1[[#This Row],[I Sigma]]</f>
        <v>37.123551480433832</v>
      </c>
      <c r="L31" s="2">
        <f>3.267*Table1[[#This Row],[MR Bar]]</f>
        <v>15.990379807434637</v>
      </c>
      <c r="M31" s="3">
        <v>0</v>
      </c>
    </row>
    <row r="32" spans="1:13" x14ac:dyDescent="0.25">
      <c r="A32" s="1">
        <v>46.866189809380757</v>
      </c>
      <c r="B32" s="2">
        <f>AVERAGE(Table1[I])</f>
        <v>50.140878040224713</v>
      </c>
      <c r="C32" s="2">
        <f t="shared" si="0"/>
        <v>3.9176830599545482</v>
      </c>
      <c r="D32" s="2">
        <f t="shared" si="1"/>
        <v>4.8454255914709368</v>
      </c>
      <c r="E32" s="2">
        <f>Table1[[#This Row],[MR Bar]]/1.128</f>
        <v>4.29559006336076</v>
      </c>
      <c r="F32" s="2">
        <f>Table1[[#This Row],[I Bar]]+Table1[[#This Row],[I Sigma]]</f>
        <v>54.436468103585476</v>
      </c>
      <c r="G32" s="2">
        <f>Table1[[#This Row],[I Bar]]+2*Table1[[#This Row],[I Sigma]]</f>
        <v>58.732058166946231</v>
      </c>
      <c r="H32" s="2">
        <f>Table1[[#This Row],[I Bar]]+3*Table1[[#This Row],[I Sigma]]</f>
        <v>63.027648230306994</v>
      </c>
      <c r="I32" s="2">
        <f>Table1[[#This Row],[I Bar]]-Table1[[#This Row],[I Sigma]]</f>
        <v>45.845287976863951</v>
      </c>
      <c r="J32" s="2">
        <f>Table1[[#This Row],[I Bar]]-2*Table1[[#This Row],[I Sigma]]</f>
        <v>41.549697913503195</v>
      </c>
      <c r="K32" s="2">
        <f>Table1[[#This Row],[I Bar]]-3*Table1[[#This Row],[I Sigma]]</f>
        <v>37.254107850142432</v>
      </c>
      <c r="L32" s="2">
        <f>3.267*Table1[[#This Row],[MR Bar]]</f>
        <v>15.83000540733555</v>
      </c>
      <c r="M32" s="3">
        <v>0</v>
      </c>
    </row>
    <row r="33" spans="1:13" x14ac:dyDescent="0.25">
      <c r="A33" s="1">
        <v>50.783872869335305</v>
      </c>
      <c r="B33" s="2">
        <f>AVERAGE(Table1[I])</f>
        <v>50.140878040224713</v>
      </c>
      <c r="C33" s="2">
        <f t="shared" si="0"/>
        <v>2.0891095738926637</v>
      </c>
      <c r="D33" s="2">
        <f t="shared" si="1"/>
        <v>4.8942541457612734</v>
      </c>
      <c r="E33" s="2">
        <f>Table1[[#This Row],[MR Bar]]/1.128</f>
        <v>4.3388777887954557</v>
      </c>
      <c r="F33" s="2">
        <f>Table1[[#This Row],[I Bar]]+Table1[[#This Row],[I Sigma]]</f>
        <v>54.479755829020171</v>
      </c>
      <c r="G33" s="2">
        <f>Table1[[#This Row],[I Bar]]+2*Table1[[#This Row],[I Sigma]]</f>
        <v>58.818633617815621</v>
      </c>
      <c r="H33" s="2">
        <f>Table1[[#This Row],[I Bar]]+3*Table1[[#This Row],[I Sigma]]</f>
        <v>63.157511406611079</v>
      </c>
      <c r="I33" s="2">
        <f>Table1[[#This Row],[I Bar]]-Table1[[#This Row],[I Sigma]]</f>
        <v>45.802000251429256</v>
      </c>
      <c r="J33" s="2">
        <f>Table1[[#This Row],[I Bar]]-2*Table1[[#This Row],[I Sigma]]</f>
        <v>41.463122462633805</v>
      </c>
      <c r="K33" s="2">
        <f>Table1[[#This Row],[I Bar]]-3*Table1[[#This Row],[I Sigma]]</f>
        <v>37.124244673838348</v>
      </c>
      <c r="L33" s="2">
        <f>3.267*Table1[[#This Row],[MR Bar]]</f>
        <v>15.98952829420208</v>
      </c>
      <c r="M33" s="3">
        <v>0</v>
      </c>
    </row>
    <row r="34" spans="1:13" x14ac:dyDescent="0.25">
      <c r="A34" s="1">
        <v>48.694763295442641</v>
      </c>
      <c r="B34" s="2">
        <f>AVERAGE(Table1[I])</f>
        <v>50.140878040224713</v>
      </c>
      <c r="C34" s="2">
        <f t="shared" ref="C34:C51" si="2">MAX(A34:A35)-MIN(A34:A35)</f>
        <v>3.1245553907195927</v>
      </c>
      <c r="D34" s="2">
        <f t="shared" ref="D34:D65" si="3">AVERAGE(C34:C83)</f>
        <v>5.0500955108650842</v>
      </c>
      <c r="E34" s="2">
        <f>Table1[[#This Row],[MR Bar]]/1.128</f>
        <v>4.477035027362664</v>
      </c>
      <c r="F34" s="2">
        <f>Table1[[#This Row],[I Bar]]+Table1[[#This Row],[I Sigma]]</f>
        <v>54.617913067587381</v>
      </c>
      <c r="G34" s="2">
        <f>Table1[[#This Row],[I Bar]]+2*Table1[[#This Row],[I Sigma]]</f>
        <v>59.094948094950041</v>
      </c>
      <c r="H34" s="2">
        <f>Table1[[#This Row],[I Bar]]+3*Table1[[#This Row],[I Sigma]]</f>
        <v>63.571983122312702</v>
      </c>
      <c r="I34" s="2">
        <f>Table1[[#This Row],[I Bar]]-Table1[[#This Row],[I Sigma]]</f>
        <v>45.663843012862046</v>
      </c>
      <c r="J34" s="2">
        <f>Table1[[#This Row],[I Bar]]-2*Table1[[#This Row],[I Sigma]]</f>
        <v>41.186807985499385</v>
      </c>
      <c r="K34" s="2">
        <f>Table1[[#This Row],[I Bar]]-3*Table1[[#This Row],[I Sigma]]</f>
        <v>36.709772958136725</v>
      </c>
      <c r="L34" s="2">
        <f>3.267*Table1[[#This Row],[MR Bar]]</f>
        <v>16.498662033996229</v>
      </c>
      <c r="M34" s="3">
        <v>0</v>
      </c>
    </row>
    <row r="35" spans="1:13" x14ac:dyDescent="0.25">
      <c r="A35" s="1">
        <v>51.819318686162234</v>
      </c>
      <c r="B35" s="2">
        <f>AVERAGE(Table1[I])</f>
        <v>50.140878040224713</v>
      </c>
      <c r="C35" s="2">
        <f t="shared" si="2"/>
        <v>6.546123758346269</v>
      </c>
      <c r="D35" s="2">
        <f t="shared" si="3"/>
        <v>5.1633625767559952</v>
      </c>
      <c r="E35" s="2">
        <f>Table1[[#This Row],[MR Bar]]/1.128</f>
        <v>4.5774490928687905</v>
      </c>
      <c r="F35" s="2">
        <f>Table1[[#This Row],[I Bar]]+Table1[[#This Row],[I Sigma]]</f>
        <v>54.718327133093503</v>
      </c>
      <c r="G35" s="2">
        <f>Table1[[#This Row],[I Bar]]+2*Table1[[#This Row],[I Sigma]]</f>
        <v>59.295776225962292</v>
      </c>
      <c r="H35" s="2">
        <f>Table1[[#This Row],[I Bar]]+3*Table1[[#This Row],[I Sigma]]</f>
        <v>63.873225318831089</v>
      </c>
      <c r="I35" s="2">
        <f>Table1[[#This Row],[I Bar]]-Table1[[#This Row],[I Sigma]]</f>
        <v>45.563428947355924</v>
      </c>
      <c r="J35" s="2">
        <f>Table1[[#This Row],[I Bar]]-2*Table1[[#This Row],[I Sigma]]</f>
        <v>40.985979854487134</v>
      </c>
      <c r="K35" s="2">
        <f>Table1[[#This Row],[I Bar]]-3*Table1[[#This Row],[I Sigma]]</f>
        <v>36.408530761618337</v>
      </c>
      <c r="L35" s="2">
        <f>3.267*Table1[[#This Row],[MR Bar]]</f>
        <v>16.868705538261835</v>
      </c>
      <c r="M35" s="3">
        <v>0</v>
      </c>
    </row>
    <row r="36" spans="1:13" x14ac:dyDescent="0.25">
      <c r="A36" s="1">
        <v>45.273194927815965</v>
      </c>
      <c r="B36" s="2">
        <f>AVERAGE(Table1[I])</f>
        <v>50.140878040224713</v>
      </c>
      <c r="C36" s="2">
        <f t="shared" si="2"/>
        <v>7.6459901173646259</v>
      </c>
      <c r="D36" s="2">
        <f t="shared" si="3"/>
        <v>5.0769400029066034</v>
      </c>
      <c r="E36" s="2">
        <f>Table1[[#This Row],[MR Bar]]/1.128</f>
        <v>4.5008333359101096</v>
      </c>
      <c r="F36" s="2">
        <f>Table1[[#This Row],[I Bar]]+Table1[[#This Row],[I Sigma]]</f>
        <v>54.641711376134822</v>
      </c>
      <c r="G36" s="2">
        <f>Table1[[#This Row],[I Bar]]+2*Table1[[#This Row],[I Sigma]]</f>
        <v>59.142544712044931</v>
      </c>
      <c r="H36" s="2">
        <f>Table1[[#This Row],[I Bar]]+3*Table1[[#This Row],[I Sigma]]</f>
        <v>63.643378047955039</v>
      </c>
      <c r="I36" s="2">
        <f>Table1[[#This Row],[I Bar]]-Table1[[#This Row],[I Sigma]]</f>
        <v>45.640044704314604</v>
      </c>
      <c r="J36" s="2">
        <f>Table1[[#This Row],[I Bar]]-2*Table1[[#This Row],[I Sigma]]</f>
        <v>41.139211368404496</v>
      </c>
      <c r="K36" s="2">
        <f>Table1[[#This Row],[I Bar]]-3*Table1[[#This Row],[I Sigma]]</f>
        <v>36.638378032494387</v>
      </c>
      <c r="L36" s="2">
        <f>3.267*Table1[[#This Row],[MR Bar]]</f>
        <v>16.586362989495871</v>
      </c>
      <c r="M36" s="3">
        <v>0</v>
      </c>
    </row>
    <row r="37" spans="1:13" x14ac:dyDescent="0.25">
      <c r="A37" s="1">
        <v>52.919185045180591</v>
      </c>
      <c r="B37" s="2">
        <f>AVERAGE(Table1[I])</f>
        <v>50.140878040224713</v>
      </c>
      <c r="C37" s="2">
        <f t="shared" si="2"/>
        <v>5.8755080239146977</v>
      </c>
      <c r="D37" s="2">
        <f t="shared" si="3"/>
        <v>4.9056699952760683</v>
      </c>
      <c r="E37" s="2">
        <f>Table1[[#This Row],[MR Bar]]/1.128</f>
        <v>4.3489982227624724</v>
      </c>
      <c r="F37" s="2">
        <f>Table1[[#This Row],[I Bar]]+Table1[[#This Row],[I Sigma]]</f>
        <v>54.489876262987188</v>
      </c>
      <c r="G37" s="2">
        <f>Table1[[#This Row],[I Bar]]+2*Table1[[#This Row],[I Sigma]]</f>
        <v>58.838874485749656</v>
      </c>
      <c r="H37" s="2">
        <f>Table1[[#This Row],[I Bar]]+3*Table1[[#This Row],[I Sigma]]</f>
        <v>63.187872708512131</v>
      </c>
      <c r="I37" s="2">
        <f>Table1[[#This Row],[I Bar]]-Table1[[#This Row],[I Sigma]]</f>
        <v>45.791879817462238</v>
      </c>
      <c r="J37" s="2">
        <f>Table1[[#This Row],[I Bar]]-2*Table1[[#This Row],[I Sigma]]</f>
        <v>41.44288159469977</v>
      </c>
      <c r="K37" s="2">
        <f>Table1[[#This Row],[I Bar]]-3*Table1[[#This Row],[I Sigma]]</f>
        <v>37.093883371937295</v>
      </c>
      <c r="L37" s="2">
        <f>3.267*Table1[[#This Row],[MR Bar]]</f>
        <v>16.026823874566915</v>
      </c>
      <c r="M37" s="3">
        <v>0</v>
      </c>
    </row>
    <row r="38" spans="1:13" x14ac:dyDescent="0.25">
      <c r="A38" s="1">
        <v>58.794693069095288</v>
      </c>
      <c r="B38" s="2">
        <f>AVERAGE(Table1[I])</f>
        <v>50.140878040224713</v>
      </c>
      <c r="C38" s="2">
        <f t="shared" si="2"/>
        <v>6.9339269768668075</v>
      </c>
      <c r="D38" s="2">
        <f t="shared" si="3"/>
        <v>4.8363958503733091</v>
      </c>
      <c r="E38" s="2">
        <f>Table1[[#This Row],[MR Bar]]/1.128</f>
        <v>4.2875849737352034</v>
      </c>
      <c r="F38" s="2">
        <f>Table1[[#This Row],[I Bar]]+Table1[[#This Row],[I Sigma]]</f>
        <v>54.428463013959913</v>
      </c>
      <c r="G38" s="2">
        <f>Table1[[#This Row],[I Bar]]+2*Table1[[#This Row],[I Sigma]]</f>
        <v>58.71604798769512</v>
      </c>
      <c r="H38" s="2">
        <f>Table1[[#This Row],[I Bar]]+3*Table1[[#This Row],[I Sigma]]</f>
        <v>63.003632961430327</v>
      </c>
      <c r="I38" s="2">
        <f>Table1[[#This Row],[I Bar]]-Table1[[#This Row],[I Sigma]]</f>
        <v>45.853293066489513</v>
      </c>
      <c r="J38" s="2">
        <f>Table1[[#This Row],[I Bar]]-2*Table1[[#This Row],[I Sigma]]</f>
        <v>41.565708092754306</v>
      </c>
      <c r="K38" s="2">
        <f>Table1[[#This Row],[I Bar]]-3*Table1[[#This Row],[I Sigma]]</f>
        <v>37.278123119019099</v>
      </c>
      <c r="L38" s="2">
        <f>3.267*Table1[[#This Row],[MR Bar]]</f>
        <v>15.800505243169601</v>
      </c>
      <c r="M38" s="3">
        <v>0</v>
      </c>
    </row>
    <row r="39" spans="1:13" x14ac:dyDescent="0.25">
      <c r="A39" s="1">
        <v>51.860766092228481</v>
      </c>
      <c r="B39" s="2">
        <f>AVERAGE(Table1[I])</f>
        <v>50.140878040224713</v>
      </c>
      <c r="C39" s="2">
        <f t="shared" si="2"/>
        <v>3.3208376201734282</v>
      </c>
      <c r="D39" s="2">
        <f t="shared" si="3"/>
        <v>4.6750473021815022</v>
      </c>
      <c r="E39" s="2">
        <f>Table1[[#This Row],[MR Bar]]/1.128</f>
        <v>4.1445454806573609</v>
      </c>
      <c r="F39" s="2">
        <f>Table1[[#This Row],[I Bar]]+Table1[[#This Row],[I Sigma]]</f>
        <v>54.285423520882077</v>
      </c>
      <c r="G39" s="2">
        <f>Table1[[#This Row],[I Bar]]+2*Table1[[#This Row],[I Sigma]]</f>
        <v>58.429969001539433</v>
      </c>
      <c r="H39" s="2">
        <f>Table1[[#This Row],[I Bar]]+3*Table1[[#This Row],[I Sigma]]</f>
        <v>62.574514482196797</v>
      </c>
      <c r="I39" s="2">
        <f>Table1[[#This Row],[I Bar]]-Table1[[#This Row],[I Sigma]]</f>
        <v>45.99633255956735</v>
      </c>
      <c r="J39" s="2">
        <f>Table1[[#This Row],[I Bar]]-2*Table1[[#This Row],[I Sigma]]</f>
        <v>41.851787078909993</v>
      </c>
      <c r="K39" s="2">
        <f>Table1[[#This Row],[I Bar]]-3*Table1[[#This Row],[I Sigma]]</f>
        <v>37.707241598252629</v>
      </c>
      <c r="L39" s="2">
        <f>3.267*Table1[[#This Row],[MR Bar]]</f>
        <v>15.273379536226967</v>
      </c>
      <c r="M39" s="3">
        <v>0</v>
      </c>
    </row>
    <row r="40" spans="1:13" x14ac:dyDescent="0.25">
      <c r="A40" s="1">
        <v>55.181603712401909</v>
      </c>
      <c r="B40" s="2">
        <f>AVERAGE(Table1[I])</f>
        <v>50.140878040224713</v>
      </c>
      <c r="C40" s="2">
        <f t="shared" si="2"/>
        <v>2.2275699203229493</v>
      </c>
      <c r="D40" s="2">
        <f t="shared" si="3"/>
        <v>4.7878981090155079</v>
      </c>
      <c r="E40" s="2">
        <f>Table1[[#This Row],[MR Bar]]/1.128</f>
        <v>4.2445905221768694</v>
      </c>
      <c r="F40" s="2">
        <f>Table1[[#This Row],[I Bar]]+Table1[[#This Row],[I Sigma]]</f>
        <v>54.385468562401584</v>
      </c>
      <c r="G40" s="2">
        <f>Table1[[#This Row],[I Bar]]+2*Table1[[#This Row],[I Sigma]]</f>
        <v>58.630059084578448</v>
      </c>
      <c r="H40" s="2">
        <f>Table1[[#This Row],[I Bar]]+3*Table1[[#This Row],[I Sigma]]</f>
        <v>62.87464960675532</v>
      </c>
      <c r="I40" s="2">
        <f>Table1[[#This Row],[I Bar]]-Table1[[#This Row],[I Sigma]]</f>
        <v>45.896287518047842</v>
      </c>
      <c r="J40" s="2">
        <f>Table1[[#This Row],[I Bar]]-2*Table1[[#This Row],[I Sigma]]</f>
        <v>41.651696995870978</v>
      </c>
      <c r="K40" s="2">
        <f>Table1[[#This Row],[I Bar]]-3*Table1[[#This Row],[I Sigma]]</f>
        <v>37.407106473694107</v>
      </c>
      <c r="L40" s="2">
        <f>3.267*Table1[[#This Row],[MR Bar]]</f>
        <v>15.642063122153663</v>
      </c>
      <c r="M40" s="3">
        <v>0</v>
      </c>
    </row>
    <row r="41" spans="1:13" x14ac:dyDescent="0.25">
      <c r="A41" s="1">
        <v>52.95403379207896</v>
      </c>
      <c r="B41" s="2">
        <f>AVERAGE(Table1[I])</f>
        <v>50.140878040224713</v>
      </c>
      <c r="C41" s="2">
        <f t="shared" si="2"/>
        <v>4.4855788081911285</v>
      </c>
      <c r="D41" s="2">
        <f t="shared" si="3"/>
        <v>5.0206552170784677</v>
      </c>
      <c r="E41" s="2">
        <f>Table1[[#This Row],[MR Bar]]/1.128</f>
        <v>4.4509354761333935</v>
      </c>
      <c r="F41" s="2">
        <f>Table1[[#This Row],[I Bar]]+Table1[[#This Row],[I Sigma]]</f>
        <v>54.591813516358108</v>
      </c>
      <c r="G41" s="2">
        <f>Table1[[#This Row],[I Bar]]+2*Table1[[#This Row],[I Sigma]]</f>
        <v>59.042748992491497</v>
      </c>
      <c r="H41" s="2">
        <f>Table1[[#This Row],[I Bar]]+3*Table1[[#This Row],[I Sigma]]</f>
        <v>63.493684468624892</v>
      </c>
      <c r="I41" s="2">
        <f>Table1[[#This Row],[I Bar]]-Table1[[#This Row],[I Sigma]]</f>
        <v>45.689942564091318</v>
      </c>
      <c r="J41" s="2">
        <f>Table1[[#This Row],[I Bar]]-2*Table1[[#This Row],[I Sigma]]</f>
        <v>41.23900708795793</v>
      </c>
      <c r="K41" s="2">
        <f>Table1[[#This Row],[I Bar]]-3*Table1[[#This Row],[I Sigma]]</f>
        <v>36.788071611824535</v>
      </c>
      <c r="L41" s="2">
        <f>3.267*Table1[[#This Row],[MR Bar]]</f>
        <v>16.402480594195353</v>
      </c>
      <c r="M41" s="3">
        <v>0</v>
      </c>
    </row>
    <row r="42" spans="1:13" x14ac:dyDescent="0.25">
      <c r="A42" s="1">
        <v>48.468454983887831</v>
      </c>
      <c r="B42" s="2">
        <f>AVERAGE(Table1[I])</f>
        <v>50.140878040224713</v>
      </c>
      <c r="C42" s="2">
        <f t="shared" si="2"/>
        <v>7.1536285746590096</v>
      </c>
      <c r="D42" s="2">
        <f t="shared" si="3"/>
        <v>5.0741628579672016</v>
      </c>
      <c r="E42" s="2">
        <f>Table1[[#This Row],[MR Bar]]/1.128</f>
        <v>4.4983713279851081</v>
      </c>
      <c r="F42" s="2">
        <f>Table1[[#This Row],[I Bar]]+Table1[[#This Row],[I Sigma]]</f>
        <v>54.639249368209818</v>
      </c>
      <c r="G42" s="2">
        <f>Table1[[#This Row],[I Bar]]+2*Table1[[#This Row],[I Sigma]]</f>
        <v>59.137620696194929</v>
      </c>
      <c r="H42" s="2">
        <f>Table1[[#This Row],[I Bar]]+3*Table1[[#This Row],[I Sigma]]</f>
        <v>63.635992024180041</v>
      </c>
      <c r="I42" s="2">
        <f>Table1[[#This Row],[I Bar]]-Table1[[#This Row],[I Sigma]]</f>
        <v>45.642506712239609</v>
      </c>
      <c r="J42" s="2">
        <f>Table1[[#This Row],[I Bar]]-2*Table1[[#This Row],[I Sigma]]</f>
        <v>41.144135384254497</v>
      </c>
      <c r="K42" s="2">
        <f>Table1[[#This Row],[I Bar]]-3*Table1[[#This Row],[I Sigma]]</f>
        <v>36.645764056269385</v>
      </c>
      <c r="L42" s="2">
        <f>3.267*Table1[[#This Row],[MR Bar]]</f>
        <v>16.577290056978846</v>
      </c>
      <c r="M42" s="3">
        <v>0</v>
      </c>
    </row>
    <row r="43" spans="1:13" x14ac:dyDescent="0.25">
      <c r="A43" s="1">
        <v>55.622083558546841</v>
      </c>
      <c r="B43" s="2">
        <f>AVERAGE(Table1[I])</f>
        <v>50.140878040224713</v>
      </c>
      <c r="C43" s="2">
        <f t="shared" si="2"/>
        <v>2.8523067499024322</v>
      </c>
      <c r="D43" s="2">
        <f t="shared" si="3"/>
        <v>4.8431111116681116</v>
      </c>
      <c r="E43" s="2">
        <f>Table1[[#This Row],[MR Bar]]/1.128</f>
        <v>4.2935382195639296</v>
      </c>
      <c r="F43" s="2">
        <f>Table1[[#This Row],[I Bar]]+Table1[[#This Row],[I Sigma]]</f>
        <v>54.434416259788641</v>
      </c>
      <c r="G43" s="2">
        <f>Table1[[#This Row],[I Bar]]+2*Table1[[#This Row],[I Sigma]]</f>
        <v>58.727954479352576</v>
      </c>
      <c r="H43" s="2">
        <f>Table1[[#This Row],[I Bar]]+3*Table1[[#This Row],[I Sigma]]</f>
        <v>63.021492698916504</v>
      </c>
      <c r="I43" s="2">
        <f>Table1[[#This Row],[I Bar]]-Table1[[#This Row],[I Sigma]]</f>
        <v>45.847339820660785</v>
      </c>
      <c r="J43" s="2">
        <f>Table1[[#This Row],[I Bar]]-2*Table1[[#This Row],[I Sigma]]</f>
        <v>41.553801601096851</v>
      </c>
      <c r="K43" s="2">
        <f>Table1[[#This Row],[I Bar]]-3*Table1[[#This Row],[I Sigma]]</f>
        <v>37.260263381532923</v>
      </c>
      <c r="L43" s="2">
        <f>3.267*Table1[[#This Row],[MR Bar]]</f>
        <v>15.82244400181972</v>
      </c>
      <c r="M43" s="3">
        <v>0</v>
      </c>
    </row>
    <row r="44" spans="1:13" x14ac:dyDescent="0.25">
      <c r="A44" s="1">
        <v>52.769776808644409</v>
      </c>
      <c r="B44" s="2">
        <f>AVERAGE(Table1[I])</f>
        <v>50.140878040224713</v>
      </c>
      <c r="C44" s="2">
        <f t="shared" si="2"/>
        <v>0.52465480478655024</v>
      </c>
      <c r="D44" s="2">
        <f t="shared" si="3"/>
        <v>5.091961656888822</v>
      </c>
      <c r="E44" s="2">
        <f>Table1[[#This Row],[MR Bar]]/1.128</f>
        <v>4.5141504050432824</v>
      </c>
      <c r="F44" s="2">
        <f>Table1[[#This Row],[I Bar]]+Table1[[#This Row],[I Sigma]]</f>
        <v>54.655028445267995</v>
      </c>
      <c r="G44" s="2">
        <f>Table1[[#This Row],[I Bar]]+2*Table1[[#This Row],[I Sigma]]</f>
        <v>59.169178850311276</v>
      </c>
      <c r="H44" s="2">
        <f>Table1[[#This Row],[I Bar]]+3*Table1[[#This Row],[I Sigma]]</f>
        <v>63.683329255354565</v>
      </c>
      <c r="I44" s="2">
        <f>Table1[[#This Row],[I Bar]]-Table1[[#This Row],[I Sigma]]</f>
        <v>45.626727635181432</v>
      </c>
      <c r="J44" s="2">
        <f>Table1[[#This Row],[I Bar]]-2*Table1[[#This Row],[I Sigma]]</f>
        <v>41.11257723013815</v>
      </c>
      <c r="K44" s="2">
        <f>Table1[[#This Row],[I Bar]]-3*Table1[[#This Row],[I Sigma]]</f>
        <v>36.598426825094862</v>
      </c>
      <c r="L44" s="2">
        <f>3.267*Table1[[#This Row],[MR Bar]]</f>
        <v>16.635438733055782</v>
      </c>
      <c r="M44" s="3">
        <v>0</v>
      </c>
    </row>
    <row r="45" spans="1:13" x14ac:dyDescent="0.25">
      <c r="A45" s="1">
        <v>52.245122003857858</v>
      </c>
      <c r="B45" s="2">
        <f>AVERAGE(Table1[I])</f>
        <v>50.140878040224713</v>
      </c>
      <c r="C45" s="2">
        <f t="shared" si="2"/>
        <v>9.1915981357294925</v>
      </c>
      <c r="D45" s="2">
        <f t="shared" si="3"/>
        <v>5.7444340643320038</v>
      </c>
      <c r="E45" s="2">
        <f>Table1[[#This Row],[MR Bar]]/1.128</f>
        <v>5.0925833903652524</v>
      </c>
      <c r="F45" s="2">
        <f>Table1[[#This Row],[I Bar]]+Table1[[#This Row],[I Sigma]]</f>
        <v>55.233461430589969</v>
      </c>
      <c r="G45" s="2">
        <f>Table1[[#This Row],[I Bar]]+2*Table1[[#This Row],[I Sigma]]</f>
        <v>60.326044820955218</v>
      </c>
      <c r="H45" s="2">
        <f>Table1[[#This Row],[I Bar]]+3*Table1[[#This Row],[I Sigma]]</f>
        <v>65.418628211320467</v>
      </c>
      <c r="I45" s="2">
        <f>Table1[[#This Row],[I Bar]]-Table1[[#This Row],[I Sigma]]</f>
        <v>45.048294649859457</v>
      </c>
      <c r="J45" s="2">
        <f>Table1[[#This Row],[I Bar]]-2*Table1[[#This Row],[I Sigma]]</f>
        <v>39.955711259494208</v>
      </c>
      <c r="K45" s="2">
        <f>Table1[[#This Row],[I Bar]]-3*Table1[[#This Row],[I Sigma]]</f>
        <v>34.863127869128959</v>
      </c>
      <c r="L45" s="2">
        <f>3.267*Table1[[#This Row],[MR Bar]]</f>
        <v>18.767066088172655</v>
      </c>
      <c r="M45" s="3">
        <v>0</v>
      </c>
    </row>
    <row r="46" spans="1:13" x14ac:dyDescent="0.25">
      <c r="A46" s="1">
        <v>43.053523868128366</v>
      </c>
      <c r="B46" s="2">
        <f>AVERAGE(Table1[I])</f>
        <v>50.140878040224713</v>
      </c>
      <c r="C46" s="2">
        <f t="shared" si="2"/>
        <v>12.466276850740648</v>
      </c>
      <c r="D46" s="2">
        <f t="shared" si="3"/>
        <v>5.1699067190990888</v>
      </c>
      <c r="E46" s="2">
        <f>Table1[[#This Row],[MR Bar]]/1.128</f>
        <v>4.5832506374991926</v>
      </c>
      <c r="F46" s="2">
        <f>Table1[[#This Row],[I Bar]]+Table1[[#This Row],[I Sigma]]</f>
        <v>54.724128677723904</v>
      </c>
      <c r="G46" s="2">
        <f>Table1[[#This Row],[I Bar]]+2*Table1[[#This Row],[I Sigma]]</f>
        <v>59.307379315223102</v>
      </c>
      <c r="H46" s="2">
        <f>Table1[[#This Row],[I Bar]]+3*Table1[[#This Row],[I Sigma]]</f>
        <v>63.890629952722293</v>
      </c>
      <c r="I46" s="2">
        <f>Table1[[#This Row],[I Bar]]-Table1[[#This Row],[I Sigma]]</f>
        <v>45.557627402725522</v>
      </c>
      <c r="J46" s="2">
        <f>Table1[[#This Row],[I Bar]]-2*Table1[[#This Row],[I Sigma]]</f>
        <v>40.974376765226324</v>
      </c>
      <c r="K46" s="2">
        <f>Table1[[#This Row],[I Bar]]-3*Table1[[#This Row],[I Sigma]]</f>
        <v>36.391126127727134</v>
      </c>
      <c r="L46" s="2">
        <f>3.267*Table1[[#This Row],[MR Bar]]</f>
        <v>16.890085251296721</v>
      </c>
      <c r="M46" s="3">
        <v>0</v>
      </c>
    </row>
    <row r="47" spans="1:13" x14ac:dyDescent="0.25">
      <c r="A47" s="1">
        <v>55.519800718869014</v>
      </c>
      <c r="B47" s="2">
        <f>AVERAGE(Table1[I])</f>
        <v>50.140878040224713</v>
      </c>
      <c r="C47" s="2">
        <f t="shared" si="2"/>
        <v>0.9022394565556624</v>
      </c>
      <c r="D47" s="2">
        <f t="shared" si="3"/>
        <v>3.7106326927707771</v>
      </c>
      <c r="E47" s="2">
        <f>Table1[[#This Row],[MR Bar]]/1.128</f>
        <v>3.2895679900450157</v>
      </c>
      <c r="F47" s="2">
        <f>Table1[[#This Row],[I Bar]]+Table1[[#This Row],[I Sigma]]</f>
        <v>53.430446030269728</v>
      </c>
      <c r="G47" s="2">
        <f>Table1[[#This Row],[I Bar]]+2*Table1[[#This Row],[I Sigma]]</f>
        <v>56.720014020314743</v>
      </c>
      <c r="H47" s="2">
        <f>Table1[[#This Row],[I Bar]]+3*Table1[[#This Row],[I Sigma]]</f>
        <v>60.009582010359765</v>
      </c>
      <c r="I47" s="2">
        <f>Table1[[#This Row],[I Bar]]-Table1[[#This Row],[I Sigma]]</f>
        <v>46.851310050179698</v>
      </c>
      <c r="J47" s="2">
        <f>Table1[[#This Row],[I Bar]]-2*Table1[[#This Row],[I Sigma]]</f>
        <v>43.561742060134684</v>
      </c>
      <c r="K47" s="2">
        <f>Table1[[#This Row],[I Bar]]-3*Table1[[#This Row],[I Sigma]]</f>
        <v>40.272174070089662</v>
      </c>
      <c r="L47" s="2">
        <f>3.267*Table1[[#This Row],[MR Bar]]</f>
        <v>12.122637007282128</v>
      </c>
      <c r="M47" s="3">
        <v>0</v>
      </c>
    </row>
    <row r="48" spans="1:13" x14ac:dyDescent="0.25">
      <c r="A48" s="1">
        <v>54.617561262313352</v>
      </c>
      <c r="B48" s="2">
        <f>AVERAGE(Table1[I])</f>
        <v>50.140878040224713</v>
      </c>
      <c r="C48" s="2">
        <f t="shared" si="2"/>
        <v>5.1956693780805878</v>
      </c>
      <c r="D48" s="2">
        <f t="shared" si="3"/>
        <v>4.4127310018245556</v>
      </c>
      <c r="E48" s="2">
        <f>Table1[[#This Row],[MR Bar]]/1.128</f>
        <v>3.9119955689934005</v>
      </c>
      <c r="F48" s="2">
        <f>Table1[[#This Row],[I Bar]]+Table1[[#This Row],[I Sigma]]</f>
        <v>54.052873609218111</v>
      </c>
      <c r="G48" s="2">
        <f>Table1[[#This Row],[I Bar]]+2*Table1[[#This Row],[I Sigma]]</f>
        <v>57.964869178211515</v>
      </c>
      <c r="H48" s="2">
        <f>Table1[[#This Row],[I Bar]]+3*Table1[[#This Row],[I Sigma]]</f>
        <v>61.876864747204912</v>
      </c>
      <c r="I48" s="2">
        <f>Table1[[#This Row],[I Bar]]-Table1[[#This Row],[I Sigma]]</f>
        <v>46.228882471231316</v>
      </c>
      <c r="J48" s="2">
        <f>Table1[[#This Row],[I Bar]]-2*Table1[[#This Row],[I Sigma]]</f>
        <v>42.316886902237911</v>
      </c>
      <c r="K48" s="2">
        <f>Table1[[#This Row],[I Bar]]-3*Table1[[#This Row],[I Sigma]]</f>
        <v>38.404891333244514</v>
      </c>
      <c r="L48" s="2">
        <f>3.267*Table1[[#This Row],[MR Bar]]</f>
        <v>14.416392182960823</v>
      </c>
      <c r="M48" s="3">
        <v>0</v>
      </c>
    </row>
    <row r="49" spans="1:13" x14ac:dyDescent="0.25">
      <c r="A49" s="1">
        <v>49.421891884232764</v>
      </c>
      <c r="B49" s="2">
        <f>AVERAGE(Table1[I])</f>
        <v>50.140878040224713</v>
      </c>
      <c r="C49" s="2">
        <f t="shared" si="2"/>
        <v>9.0349040430226921</v>
      </c>
      <c r="D49" s="2">
        <f t="shared" si="3"/>
        <v>4.1517515430725451</v>
      </c>
      <c r="E49" s="2">
        <f>Table1[[#This Row],[MR Bar]]/1.128</f>
        <v>3.6806308005962283</v>
      </c>
      <c r="F49" s="2">
        <f>Table1[[#This Row],[I Bar]]+Table1[[#This Row],[I Sigma]]</f>
        <v>53.82150884082094</v>
      </c>
      <c r="G49" s="2">
        <f>Table1[[#This Row],[I Bar]]+2*Table1[[#This Row],[I Sigma]]</f>
        <v>57.502139641417173</v>
      </c>
      <c r="H49" s="2">
        <f>Table1[[#This Row],[I Bar]]+3*Table1[[#This Row],[I Sigma]]</f>
        <v>61.1827704420134</v>
      </c>
      <c r="I49" s="2">
        <f>Table1[[#This Row],[I Bar]]-Table1[[#This Row],[I Sigma]]</f>
        <v>46.460247239628487</v>
      </c>
      <c r="J49" s="2">
        <f>Table1[[#This Row],[I Bar]]-2*Table1[[#This Row],[I Sigma]]</f>
        <v>42.779616439032253</v>
      </c>
      <c r="K49" s="2">
        <f>Table1[[#This Row],[I Bar]]-3*Table1[[#This Row],[I Sigma]]</f>
        <v>39.098985638436027</v>
      </c>
      <c r="L49" s="2">
        <f>3.267*Table1[[#This Row],[MR Bar]]</f>
        <v>13.563772291218005</v>
      </c>
      <c r="M49" s="3">
        <v>0</v>
      </c>
    </row>
    <row r="50" spans="1:13" x14ac:dyDescent="0.25">
      <c r="A50" s="1">
        <v>40.386987841210072</v>
      </c>
      <c r="B50" s="2">
        <f>AVERAGE(Table1[I])</f>
        <v>50.140878040224713</v>
      </c>
      <c r="C50" s="2">
        <f t="shared" si="2"/>
        <v>3.4203505861949424</v>
      </c>
      <c r="D50" s="2">
        <f t="shared" si="3"/>
        <v>1.7101752930974712</v>
      </c>
      <c r="E50" s="2">
        <f>Table1[[#This Row],[MR Bar]]/1.128</f>
        <v>1.5161128484906661</v>
      </c>
      <c r="F50" s="2">
        <f>Table1[[#This Row],[I Bar]]+Table1[[#This Row],[I Sigma]]</f>
        <v>51.656990888715377</v>
      </c>
      <c r="G50" s="2">
        <f>Table1[[#This Row],[I Bar]]+2*Table1[[#This Row],[I Sigma]]</f>
        <v>53.173103737206048</v>
      </c>
      <c r="H50" s="2">
        <f>Table1[[#This Row],[I Bar]]+3*Table1[[#This Row],[I Sigma]]</f>
        <v>54.689216585696713</v>
      </c>
      <c r="I50" s="2">
        <f>Table1[[#This Row],[I Bar]]-Table1[[#This Row],[I Sigma]]</f>
        <v>48.624765191734049</v>
      </c>
      <c r="J50" s="2">
        <f>Table1[[#This Row],[I Bar]]-2*Table1[[#This Row],[I Sigma]]</f>
        <v>47.108652343243378</v>
      </c>
      <c r="K50" s="2">
        <f>Table1[[#This Row],[I Bar]]-3*Table1[[#This Row],[I Sigma]]</f>
        <v>45.592539494752714</v>
      </c>
      <c r="L50" s="2">
        <f>3.267*Table1[[#This Row],[MR Bar]]</f>
        <v>5.5871426825494384</v>
      </c>
      <c r="M50" s="3">
        <v>0</v>
      </c>
    </row>
    <row r="51" spans="1:13" x14ac:dyDescent="0.25">
      <c r="A51" s="1">
        <v>43.807338427405014</v>
      </c>
      <c r="B51" s="2">
        <f>AVERAGE(Table1[I])</f>
        <v>50.140878040224713</v>
      </c>
      <c r="C51" s="2">
        <f t="shared" si="2"/>
        <v>0</v>
      </c>
      <c r="D51" s="2">
        <f t="shared" si="3"/>
        <v>0</v>
      </c>
      <c r="E51" s="2">
        <f>Table1[[#This Row],[MR Bar]]/1.128</f>
        <v>0</v>
      </c>
      <c r="F51" s="2">
        <f>Table1[[#This Row],[I Bar]]+Table1[[#This Row],[I Sigma]]</f>
        <v>50.140878040224713</v>
      </c>
      <c r="G51" s="2">
        <f>Table1[[#This Row],[I Bar]]+2*Table1[[#This Row],[I Sigma]]</f>
        <v>50.140878040224713</v>
      </c>
      <c r="H51" s="2">
        <f>Table1[[#This Row],[I Bar]]+3*Table1[[#This Row],[I Sigma]]</f>
        <v>50.140878040224713</v>
      </c>
      <c r="I51" s="2">
        <f>Table1[[#This Row],[I Bar]]-Table1[[#This Row],[I Sigma]]</f>
        <v>50.140878040224713</v>
      </c>
      <c r="J51" s="2">
        <f>Table1[[#This Row],[I Bar]]-2*Table1[[#This Row],[I Sigma]]</f>
        <v>50.140878040224713</v>
      </c>
      <c r="K51" s="2">
        <f>Table1[[#This Row],[I Bar]]-3*Table1[[#This Row],[I Sigma]]</f>
        <v>50.140878040224713</v>
      </c>
      <c r="L51" s="2">
        <f>3.267*Table1[[#This Row],[MR Bar]]</f>
        <v>0</v>
      </c>
      <c r="M51" s="3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1F15-0449-4B4B-9141-663677FFA68B}">
  <dimension ref="A1:M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3" width="8.85546875" style="1"/>
    <col min="4" max="5" width="9" style="1" customWidth="1"/>
    <col min="6" max="8" width="14.7109375" style="1" customWidth="1"/>
    <col min="9" max="11" width="14.28515625" style="1" customWidth="1"/>
    <col min="12" max="12" width="9.5703125" style="1" customWidth="1"/>
    <col min="13" max="13" width="9.140625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49.594044012659573</v>
      </c>
      <c r="B2" s="2">
        <f>AVERAGE(Table2[I])</f>
        <v>50.140878040224713</v>
      </c>
      <c r="C2" s="2">
        <f t="shared" ref="C2:C33" si="0">MAX(A2:A3)-MIN(A2:A3)</f>
        <v>0.99362234765436597</v>
      </c>
      <c r="D2" s="2">
        <f>AVERAGE(Table2[MR])</f>
        <v>5.6703302332914713</v>
      </c>
      <c r="E2" s="2">
        <f>Table2[[#This Row],[MR Bar]]/1.128</f>
        <v>5.026888504691021</v>
      </c>
      <c r="F2" s="2">
        <f>Table2[[#This Row],[I Bar]]+Table2[[#This Row],[I Sigma]]</f>
        <v>55.167766544915736</v>
      </c>
      <c r="G2" s="2">
        <f>Table2[[#This Row],[I Bar]]+2*Table2[[#This Row],[I Sigma]]</f>
        <v>60.194655049606752</v>
      </c>
      <c r="H2" s="2">
        <f>Table2[[#This Row],[I Bar]]+3*Table2[[#This Row],[I Sigma]]</f>
        <v>65.221543554297781</v>
      </c>
      <c r="I2" s="2">
        <f>Table2[[#This Row],[I Bar]]-Table2[[#This Row],[I Sigma]]</f>
        <v>45.11398953553369</v>
      </c>
      <c r="J2" s="2">
        <f>Table2[[#This Row],[I Bar]]-2*Table2[[#This Row],[I Sigma]]</f>
        <v>40.087101030842675</v>
      </c>
      <c r="K2" s="2">
        <f>Table2[[#This Row],[I Bar]]-3*Table2[[#This Row],[I Sigma]]</f>
        <v>35.060212526151652</v>
      </c>
      <c r="L2" s="2">
        <f>3.267*Table2[[#This Row],[MR Bar]]</f>
        <v>18.524968872163235</v>
      </c>
      <c r="M2" s="2">
        <v>0</v>
      </c>
    </row>
    <row r="3" spans="1:13" x14ac:dyDescent="0.25">
      <c r="A3" s="2">
        <v>50.587666360313939</v>
      </c>
      <c r="B3" s="2">
        <f>AVERAGE(Table2[I])</f>
        <v>50.140878040224713</v>
      </c>
      <c r="C3" s="2">
        <f t="shared" si="0"/>
        <v>6.1501331488987034</v>
      </c>
      <c r="D3" s="2">
        <f>AVERAGE(Table2[MR])</f>
        <v>5.6703302332914713</v>
      </c>
      <c r="E3" s="2">
        <f>Table2[[#This Row],[MR Bar]]/1.128</f>
        <v>5.026888504691021</v>
      </c>
      <c r="F3" s="2">
        <f>Table2[[#This Row],[I Bar]]+Table2[[#This Row],[I Sigma]]</f>
        <v>55.167766544915736</v>
      </c>
      <c r="G3" s="2">
        <f>Table2[[#This Row],[I Bar]]+2*Table2[[#This Row],[I Sigma]]</f>
        <v>60.194655049606752</v>
      </c>
      <c r="H3" s="2">
        <f>Table2[[#This Row],[I Bar]]+3*Table2[[#This Row],[I Sigma]]</f>
        <v>65.221543554297781</v>
      </c>
      <c r="I3" s="2">
        <f>Table2[[#This Row],[I Bar]]-Table2[[#This Row],[I Sigma]]</f>
        <v>45.11398953553369</v>
      </c>
      <c r="J3" s="2">
        <f>Table2[[#This Row],[I Bar]]-2*Table2[[#This Row],[I Sigma]]</f>
        <v>40.087101030842675</v>
      </c>
      <c r="K3" s="2">
        <f>Table2[[#This Row],[I Bar]]-3*Table2[[#This Row],[I Sigma]]</f>
        <v>35.060212526151652</v>
      </c>
      <c r="L3" s="2">
        <f>3.267*Table2[[#This Row],[MR Bar]]</f>
        <v>18.524968872163235</v>
      </c>
      <c r="M3" s="2">
        <v>0</v>
      </c>
    </row>
    <row r="4" spans="1:13" x14ac:dyDescent="0.25">
      <c r="A4" s="2">
        <v>44.437533211415236</v>
      </c>
      <c r="B4" s="2">
        <f>AVERAGE(Table2[I])</f>
        <v>50.140878040224713</v>
      </c>
      <c r="C4" s="2">
        <f t="shared" si="0"/>
        <v>0.67583750780831764</v>
      </c>
      <c r="D4" s="2">
        <f>AVERAGE(Table2[MR])</f>
        <v>5.6703302332914713</v>
      </c>
      <c r="E4" s="2">
        <f>Table2[[#This Row],[MR Bar]]/1.128</f>
        <v>5.026888504691021</v>
      </c>
      <c r="F4" s="2">
        <f>Table2[[#This Row],[I Bar]]+Table2[[#This Row],[I Sigma]]</f>
        <v>55.167766544915736</v>
      </c>
      <c r="G4" s="2">
        <f>Table2[[#This Row],[I Bar]]+2*Table2[[#This Row],[I Sigma]]</f>
        <v>60.194655049606752</v>
      </c>
      <c r="H4" s="2">
        <f>Table2[[#This Row],[I Bar]]+3*Table2[[#This Row],[I Sigma]]</f>
        <v>65.221543554297781</v>
      </c>
      <c r="I4" s="2">
        <f>Table2[[#This Row],[I Bar]]-Table2[[#This Row],[I Sigma]]</f>
        <v>45.11398953553369</v>
      </c>
      <c r="J4" s="2">
        <f>Table2[[#This Row],[I Bar]]-2*Table2[[#This Row],[I Sigma]]</f>
        <v>40.087101030842675</v>
      </c>
      <c r="K4" s="2">
        <f>Table2[[#This Row],[I Bar]]-3*Table2[[#This Row],[I Sigma]]</f>
        <v>35.060212526151652</v>
      </c>
      <c r="L4" s="2">
        <f>3.267*Table2[[#This Row],[MR Bar]]</f>
        <v>18.524968872163235</v>
      </c>
      <c r="M4" s="2">
        <v>0</v>
      </c>
    </row>
    <row r="5" spans="1:13" x14ac:dyDescent="0.25">
      <c r="A5" s="2">
        <v>45.113370719223553</v>
      </c>
      <c r="B5" s="2">
        <f>AVERAGE(Table2[I])</f>
        <v>50.140878040224713</v>
      </c>
      <c r="C5" s="2">
        <f t="shared" si="0"/>
        <v>11.063946413528811</v>
      </c>
      <c r="D5" s="2">
        <f>AVERAGE(Table2[MR])</f>
        <v>5.6703302332914713</v>
      </c>
      <c r="E5" s="2">
        <f>Table2[[#This Row],[MR Bar]]/1.128</f>
        <v>5.026888504691021</v>
      </c>
      <c r="F5" s="2">
        <f>Table2[[#This Row],[I Bar]]+Table2[[#This Row],[I Sigma]]</f>
        <v>55.167766544915736</v>
      </c>
      <c r="G5" s="2">
        <f>Table2[[#This Row],[I Bar]]+2*Table2[[#This Row],[I Sigma]]</f>
        <v>60.194655049606752</v>
      </c>
      <c r="H5" s="2">
        <f>Table2[[#This Row],[I Bar]]+3*Table2[[#This Row],[I Sigma]]</f>
        <v>65.221543554297781</v>
      </c>
      <c r="I5" s="2">
        <f>Table2[[#This Row],[I Bar]]-Table2[[#This Row],[I Sigma]]</f>
        <v>45.11398953553369</v>
      </c>
      <c r="J5" s="2">
        <f>Table2[[#This Row],[I Bar]]-2*Table2[[#This Row],[I Sigma]]</f>
        <v>40.087101030842675</v>
      </c>
      <c r="K5" s="2">
        <f>Table2[[#This Row],[I Bar]]-3*Table2[[#This Row],[I Sigma]]</f>
        <v>35.060212526151652</v>
      </c>
      <c r="L5" s="2">
        <f>3.267*Table2[[#This Row],[MR Bar]]</f>
        <v>18.524968872163235</v>
      </c>
      <c r="M5" s="2">
        <v>0</v>
      </c>
    </row>
    <row r="6" spans="1:13" x14ac:dyDescent="0.25">
      <c r="A6" s="2">
        <v>56.177317132752364</v>
      </c>
      <c r="B6" s="2">
        <f>AVERAGE(Table2[I])</f>
        <v>50.140878040224713</v>
      </c>
      <c r="C6" s="2">
        <f t="shared" si="0"/>
        <v>2.3581492010302156</v>
      </c>
      <c r="D6" s="2">
        <f>AVERAGE(Table2[MR])</f>
        <v>5.6703302332914713</v>
      </c>
      <c r="E6" s="2">
        <f>Table2[[#This Row],[MR Bar]]/1.128</f>
        <v>5.026888504691021</v>
      </c>
      <c r="F6" s="2">
        <f>Table2[[#This Row],[I Bar]]+Table2[[#This Row],[I Sigma]]</f>
        <v>55.167766544915736</v>
      </c>
      <c r="G6" s="2">
        <f>Table2[[#This Row],[I Bar]]+2*Table2[[#This Row],[I Sigma]]</f>
        <v>60.194655049606752</v>
      </c>
      <c r="H6" s="2">
        <f>Table2[[#This Row],[I Bar]]+3*Table2[[#This Row],[I Sigma]]</f>
        <v>65.221543554297781</v>
      </c>
      <c r="I6" s="2">
        <f>Table2[[#This Row],[I Bar]]-Table2[[#This Row],[I Sigma]]</f>
        <v>45.11398953553369</v>
      </c>
      <c r="J6" s="2">
        <f>Table2[[#This Row],[I Bar]]-2*Table2[[#This Row],[I Sigma]]</f>
        <v>40.087101030842675</v>
      </c>
      <c r="K6" s="2">
        <f>Table2[[#This Row],[I Bar]]-3*Table2[[#This Row],[I Sigma]]</f>
        <v>35.060212526151652</v>
      </c>
      <c r="L6" s="2">
        <f>3.267*Table2[[#This Row],[MR Bar]]</f>
        <v>18.524968872163235</v>
      </c>
      <c r="M6" s="2">
        <v>0</v>
      </c>
    </row>
    <row r="7" spans="1:13" x14ac:dyDescent="0.25">
      <c r="A7" s="2">
        <v>53.819167931722149</v>
      </c>
      <c r="B7" s="2">
        <f>AVERAGE(Table2[I])</f>
        <v>50.140878040224713</v>
      </c>
      <c r="C7" s="2">
        <f t="shared" si="0"/>
        <v>13.071865804546917</v>
      </c>
      <c r="D7" s="2">
        <f>AVERAGE(Table2[MR])</f>
        <v>5.6703302332914713</v>
      </c>
      <c r="E7" s="2">
        <f>Table2[[#This Row],[MR Bar]]/1.128</f>
        <v>5.026888504691021</v>
      </c>
      <c r="F7" s="2">
        <f>Table2[[#This Row],[I Bar]]+Table2[[#This Row],[I Sigma]]</f>
        <v>55.167766544915736</v>
      </c>
      <c r="G7" s="2">
        <f>Table2[[#This Row],[I Bar]]+2*Table2[[#This Row],[I Sigma]]</f>
        <v>60.194655049606752</v>
      </c>
      <c r="H7" s="2">
        <f>Table2[[#This Row],[I Bar]]+3*Table2[[#This Row],[I Sigma]]</f>
        <v>65.221543554297781</v>
      </c>
      <c r="I7" s="2">
        <f>Table2[[#This Row],[I Bar]]-Table2[[#This Row],[I Sigma]]</f>
        <v>45.11398953553369</v>
      </c>
      <c r="J7" s="2">
        <f>Table2[[#This Row],[I Bar]]-2*Table2[[#This Row],[I Sigma]]</f>
        <v>40.087101030842675</v>
      </c>
      <c r="K7" s="2">
        <f>Table2[[#This Row],[I Bar]]-3*Table2[[#This Row],[I Sigma]]</f>
        <v>35.060212526151652</v>
      </c>
      <c r="L7" s="2">
        <f>3.267*Table2[[#This Row],[MR Bar]]</f>
        <v>18.524968872163235</v>
      </c>
      <c r="M7" s="2">
        <v>0</v>
      </c>
    </row>
    <row r="8" spans="1:13" x14ac:dyDescent="0.25">
      <c r="A8" s="2">
        <v>66.891033736269065</v>
      </c>
      <c r="B8" s="2">
        <f>AVERAGE(Table2[I])</f>
        <v>50.140878040224713</v>
      </c>
      <c r="C8" s="2">
        <f t="shared" si="0"/>
        <v>17.295966079136413</v>
      </c>
      <c r="D8" s="2">
        <f>AVERAGE(Table2[MR])</f>
        <v>5.6703302332914713</v>
      </c>
      <c r="E8" s="2">
        <f>Table2[[#This Row],[MR Bar]]/1.128</f>
        <v>5.026888504691021</v>
      </c>
      <c r="F8" s="2">
        <f>Table2[[#This Row],[I Bar]]+Table2[[#This Row],[I Sigma]]</f>
        <v>55.167766544915736</v>
      </c>
      <c r="G8" s="2">
        <f>Table2[[#This Row],[I Bar]]+2*Table2[[#This Row],[I Sigma]]</f>
        <v>60.194655049606752</v>
      </c>
      <c r="H8" s="2">
        <f>Table2[[#This Row],[I Bar]]+3*Table2[[#This Row],[I Sigma]]</f>
        <v>65.221543554297781</v>
      </c>
      <c r="I8" s="2">
        <f>Table2[[#This Row],[I Bar]]-Table2[[#This Row],[I Sigma]]</f>
        <v>45.11398953553369</v>
      </c>
      <c r="J8" s="2">
        <f>Table2[[#This Row],[I Bar]]-2*Table2[[#This Row],[I Sigma]]</f>
        <v>40.087101030842675</v>
      </c>
      <c r="K8" s="2">
        <f>Table2[[#This Row],[I Bar]]-3*Table2[[#This Row],[I Sigma]]</f>
        <v>35.060212526151652</v>
      </c>
      <c r="L8" s="2">
        <f>3.267*Table2[[#This Row],[MR Bar]]</f>
        <v>18.524968872163235</v>
      </c>
      <c r="M8" s="2">
        <v>0</v>
      </c>
    </row>
    <row r="9" spans="1:13" x14ac:dyDescent="0.25">
      <c r="A9" s="2">
        <v>49.595067657132653</v>
      </c>
      <c r="B9" s="2">
        <f>AVERAGE(Table2[I])</f>
        <v>50.140878040224713</v>
      </c>
      <c r="C9" s="2">
        <f t="shared" si="0"/>
        <v>2.0246965320657537</v>
      </c>
      <c r="D9" s="2">
        <f>AVERAGE(Table2[MR])</f>
        <v>5.6703302332914713</v>
      </c>
      <c r="E9" s="2">
        <f>Table2[[#This Row],[MR Bar]]/1.128</f>
        <v>5.026888504691021</v>
      </c>
      <c r="F9" s="2">
        <f>Table2[[#This Row],[I Bar]]+Table2[[#This Row],[I Sigma]]</f>
        <v>55.167766544915736</v>
      </c>
      <c r="G9" s="2">
        <f>Table2[[#This Row],[I Bar]]+2*Table2[[#This Row],[I Sigma]]</f>
        <v>60.194655049606752</v>
      </c>
      <c r="H9" s="2">
        <f>Table2[[#This Row],[I Bar]]+3*Table2[[#This Row],[I Sigma]]</f>
        <v>65.221543554297781</v>
      </c>
      <c r="I9" s="2">
        <f>Table2[[#This Row],[I Bar]]-Table2[[#This Row],[I Sigma]]</f>
        <v>45.11398953553369</v>
      </c>
      <c r="J9" s="2">
        <f>Table2[[#This Row],[I Bar]]-2*Table2[[#This Row],[I Sigma]]</f>
        <v>40.087101030842675</v>
      </c>
      <c r="K9" s="2">
        <f>Table2[[#This Row],[I Bar]]-3*Table2[[#This Row],[I Sigma]]</f>
        <v>35.060212526151652</v>
      </c>
      <c r="L9" s="2">
        <f>3.267*Table2[[#This Row],[MR Bar]]</f>
        <v>18.524968872163235</v>
      </c>
      <c r="M9" s="2">
        <v>0</v>
      </c>
    </row>
    <row r="10" spans="1:13" x14ac:dyDescent="0.25">
      <c r="A10" s="2">
        <v>47.570371125066899</v>
      </c>
      <c r="B10" s="2">
        <f>AVERAGE(Table2[I])</f>
        <v>50.140878040224713</v>
      </c>
      <c r="C10" s="2">
        <f t="shared" si="0"/>
        <v>4.5420415113575103</v>
      </c>
      <c r="D10" s="2">
        <f>AVERAGE(Table2[MR])</f>
        <v>5.6703302332914713</v>
      </c>
      <c r="E10" s="2">
        <f>Table2[[#This Row],[MR Bar]]/1.128</f>
        <v>5.026888504691021</v>
      </c>
      <c r="F10" s="2">
        <f>Table2[[#This Row],[I Bar]]+Table2[[#This Row],[I Sigma]]</f>
        <v>55.167766544915736</v>
      </c>
      <c r="G10" s="2">
        <f>Table2[[#This Row],[I Bar]]+2*Table2[[#This Row],[I Sigma]]</f>
        <v>60.194655049606752</v>
      </c>
      <c r="H10" s="2">
        <f>Table2[[#This Row],[I Bar]]+3*Table2[[#This Row],[I Sigma]]</f>
        <v>65.221543554297781</v>
      </c>
      <c r="I10" s="2">
        <f>Table2[[#This Row],[I Bar]]-Table2[[#This Row],[I Sigma]]</f>
        <v>45.11398953553369</v>
      </c>
      <c r="J10" s="2">
        <f>Table2[[#This Row],[I Bar]]-2*Table2[[#This Row],[I Sigma]]</f>
        <v>40.087101030842675</v>
      </c>
      <c r="K10" s="2">
        <f>Table2[[#This Row],[I Bar]]-3*Table2[[#This Row],[I Sigma]]</f>
        <v>35.060212526151652</v>
      </c>
      <c r="L10" s="2">
        <f>3.267*Table2[[#This Row],[MR Bar]]</f>
        <v>18.524968872163235</v>
      </c>
      <c r="M10" s="2">
        <v>0</v>
      </c>
    </row>
    <row r="11" spans="1:13" x14ac:dyDescent="0.25">
      <c r="A11" s="2">
        <v>52.112412636424409</v>
      </c>
      <c r="B11" s="2">
        <f>AVERAGE(Table2[I])</f>
        <v>50.140878040224713</v>
      </c>
      <c r="C11" s="2">
        <f t="shared" si="0"/>
        <v>3.8108155759821614</v>
      </c>
      <c r="D11" s="2">
        <f>AVERAGE(Table2[MR])</f>
        <v>5.6703302332914713</v>
      </c>
      <c r="E11" s="2">
        <f>Table2[[#This Row],[MR Bar]]/1.128</f>
        <v>5.026888504691021</v>
      </c>
      <c r="F11" s="2">
        <f>Table2[[#This Row],[I Bar]]+Table2[[#This Row],[I Sigma]]</f>
        <v>55.167766544915736</v>
      </c>
      <c r="G11" s="2">
        <f>Table2[[#This Row],[I Bar]]+2*Table2[[#This Row],[I Sigma]]</f>
        <v>60.194655049606752</v>
      </c>
      <c r="H11" s="2">
        <f>Table2[[#This Row],[I Bar]]+3*Table2[[#This Row],[I Sigma]]</f>
        <v>65.221543554297781</v>
      </c>
      <c r="I11" s="2">
        <f>Table2[[#This Row],[I Bar]]-Table2[[#This Row],[I Sigma]]</f>
        <v>45.11398953553369</v>
      </c>
      <c r="J11" s="2">
        <f>Table2[[#This Row],[I Bar]]-2*Table2[[#This Row],[I Sigma]]</f>
        <v>40.087101030842675</v>
      </c>
      <c r="K11" s="2">
        <f>Table2[[#This Row],[I Bar]]-3*Table2[[#This Row],[I Sigma]]</f>
        <v>35.060212526151652</v>
      </c>
      <c r="L11" s="2">
        <f>3.267*Table2[[#This Row],[MR Bar]]</f>
        <v>18.524968872163235</v>
      </c>
      <c r="M11" s="2">
        <v>0</v>
      </c>
    </row>
    <row r="12" spans="1:13" x14ac:dyDescent="0.25">
      <c r="A12" s="2">
        <v>48.301597060442248</v>
      </c>
      <c r="B12" s="2">
        <f>AVERAGE(Table2[I])</f>
        <v>50.140878040224713</v>
      </c>
      <c r="C12" s="2">
        <f t="shared" si="0"/>
        <v>5.4396259251164096</v>
      </c>
      <c r="D12" s="2">
        <f>AVERAGE(Table2[MR])</f>
        <v>5.6703302332914713</v>
      </c>
      <c r="E12" s="2">
        <f>Table2[[#This Row],[MR Bar]]/1.128</f>
        <v>5.026888504691021</v>
      </c>
      <c r="F12" s="2">
        <f>Table2[[#This Row],[I Bar]]+Table2[[#This Row],[I Sigma]]</f>
        <v>55.167766544915736</v>
      </c>
      <c r="G12" s="2">
        <f>Table2[[#This Row],[I Bar]]+2*Table2[[#This Row],[I Sigma]]</f>
        <v>60.194655049606752</v>
      </c>
      <c r="H12" s="2">
        <f>Table2[[#This Row],[I Bar]]+3*Table2[[#This Row],[I Sigma]]</f>
        <v>65.221543554297781</v>
      </c>
      <c r="I12" s="2">
        <f>Table2[[#This Row],[I Bar]]-Table2[[#This Row],[I Sigma]]</f>
        <v>45.11398953553369</v>
      </c>
      <c r="J12" s="2">
        <f>Table2[[#This Row],[I Bar]]-2*Table2[[#This Row],[I Sigma]]</f>
        <v>40.087101030842675</v>
      </c>
      <c r="K12" s="2">
        <f>Table2[[#This Row],[I Bar]]-3*Table2[[#This Row],[I Sigma]]</f>
        <v>35.060212526151652</v>
      </c>
      <c r="L12" s="2">
        <f>3.267*Table2[[#This Row],[MR Bar]]</f>
        <v>18.524968872163235</v>
      </c>
      <c r="M12" s="2">
        <v>0</v>
      </c>
    </row>
    <row r="13" spans="1:13" x14ac:dyDescent="0.25">
      <c r="A13" s="2">
        <v>53.741222985558657</v>
      </c>
      <c r="B13" s="2">
        <f>AVERAGE(Table2[I])</f>
        <v>50.140878040224713</v>
      </c>
      <c r="C13" s="2">
        <f t="shared" si="0"/>
        <v>0.4763034153653507</v>
      </c>
      <c r="D13" s="2">
        <f>AVERAGE(Table2[MR])</f>
        <v>5.6703302332914713</v>
      </c>
      <c r="E13" s="2">
        <f>Table2[[#This Row],[MR Bar]]/1.128</f>
        <v>5.026888504691021</v>
      </c>
      <c r="F13" s="2">
        <f>Table2[[#This Row],[I Bar]]+Table2[[#This Row],[I Sigma]]</f>
        <v>55.167766544915736</v>
      </c>
      <c r="G13" s="2">
        <f>Table2[[#This Row],[I Bar]]+2*Table2[[#This Row],[I Sigma]]</f>
        <v>60.194655049606752</v>
      </c>
      <c r="H13" s="2">
        <f>Table2[[#This Row],[I Bar]]+3*Table2[[#This Row],[I Sigma]]</f>
        <v>65.221543554297781</v>
      </c>
      <c r="I13" s="2">
        <f>Table2[[#This Row],[I Bar]]-Table2[[#This Row],[I Sigma]]</f>
        <v>45.11398953553369</v>
      </c>
      <c r="J13" s="2">
        <f>Table2[[#This Row],[I Bar]]-2*Table2[[#This Row],[I Sigma]]</f>
        <v>40.087101030842675</v>
      </c>
      <c r="K13" s="2">
        <f>Table2[[#This Row],[I Bar]]-3*Table2[[#This Row],[I Sigma]]</f>
        <v>35.060212526151652</v>
      </c>
      <c r="L13" s="2">
        <f>3.267*Table2[[#This Row],[MR Bar]]</f>
        <v>18.524968872163235</v>
      </c>
      <c r="M13" s="2">
        <v>0</v>
      </c>
    </row>
    <row r="14" spans="1:13" x14ac:dyDescent="0.25">
      <c r="A14" s="2">
        <v>54.217526400924008</v>
      </c>
      <c r="B14" s="2">
        <f>AVERAGE(Table2[I])</f>
        <v>50.140878040224713</v>
      </c>
      <c r="C14" s="2">
        <f t="shared" si="0"/>
        <v>2.4615147919043991</v>
      </c>
      <c r="D14" s="2">
        <f>AVERAGE(Table2[MR])</f>
        <v>5.6703302332914713</v>
      </c>
      <c r="E14" s="2">
        <f>Table2[[#This Row],[MR Bar]]/1.128</f>
        <v>5.026888504691021</v>
      </c>
      <c r="F14" s="2">
        <f>Table2[[#This Row],[I Bar]]+Table2[[#This Row],[I Sigma]]</f>
        <v>55.167766544915736</v>
      </c>
      <c r="G14" s="2">
        <f>Table2[[#This Row],[I Bar]]+2*Table2[[#This Row],[I Sigma]]</f>
        <v>60.194655049606752</v>
      </c>
      <c r="H14" s="2">
        <f>Table2[[#This Row],[I Bar]]+3*Table2[[#This Row],[I Sigma]]</f>
        <v>65.221543554297781</v>
      </c>
      <c r="I14" s="2">
        <f>Table2[[#This Row],[I Bar]]-Table2[[#This Row],[I Sigma]]</f>
        <v>45.11398953553369</v>
      </c>
      <c r="J14" s="2">
        <f>Table2[[#This Row],[I Bar]]-2*Table2[[#This Row],[I Sigma]]</f>
        <v>40.087101030842675</v>
      </c>
      <c r="K14" s="2">
        <f>Table2[[#This Row],[I Bar]]-3*Table2[[#This Row],[I Sigma]]</f>
        <v>35.060212526151652</v>
      </c>
      <c r="L14" s="2">
        <f>3.267*Table2[[#This Row],[MR Bar]]</f>
        <v>18.524968872163235</v>
      </c>
      <c r="M14" s="2">
        <v>0</v>
      </c>
    </row>
    <row r="15" spans="1:13" x14ac:dyDescent="0.25">
      <c r="A15" s="2">
        <v>51.756011609019609</v>
      </c>
      <c r="B15" s="2">
        <f>AVERAGE(Table2[I])</f>
        <v>50.140878040224713</v>
      </c>
      <c r="C15" s="2">
        <f t="shared" si="0"/>
        <v>16.254201710742933</v>
      </c>
      <c r="D15" s="2">
        <f>AVERAGE(Table2[MR])</f>
        <v>5.6703302332914713</v>
      </c>
      <c r="E15" s="2">
        <f>Table2[[#This Row],[MR Bar]]/1.128</f>
        <v>5.026888504691021</v>
      </c>
      <c r="F15" s="2">
        <f>Table2[[#This Row],[I Bar]]+Table2[[#This Row],[I Sigma]]</f>
        <v>55.167766544915736</v>
      </c>
      <c r="G15" s="2">
        <f>Table2[[#This Row],[I Bar]]+2*Table2[[#This Row],[I Sigma]]</f>
        <v>60.194655049606752</v>
      </c>
      <c r="H15" s="2">
        <f>Table2[[#This Row],[I Bar]]+3*Table2[[#This Row],[I Sigma]]</f>
        <v>65.221543554297781</v>
      </c>
      <c r="I15" s="2">
        <f>Table2[[#This Row],[I Bar]]-Table2[[#This Row],[I Sigma]]</f>
        <v>45.11398953553369</v>
      </c>
      <c r="J15" s="2">
        <f>Table2[[#This Row],[I Bar]]-2*Table2[[#This Row],[I Sigma]]</f>
        <v>40.087101030842675</v>
      </c>
      <c r="K15" s="2">
        <f>Table2[[#This Row],[I Bar]]-3*Table2[[#This Row],[I Sigma]]</f>
        <v>35.060212526151652</v>
      </c>
      <c r="L15" s="2">
        <f>3.267*Table2[[#This Row],[MR Bar]]</f>
        <v>18.524968872163235</v>
      </c>
      <c r="M15" s="2">
        <v>0</v>
      </c>
    </row>
    <row r="16" spans="1:13" x14ac:dyDescent="0.25">
      <c r="A16" s="2">
        <v>35.501809898276676</v>
      </c>
      <c r="B16" s="2">
        <f>AVERAGE(Table2[I])</f>
        <v>50.140878040224713</v>
      </c>
      <c r="C16" s="2">
        <f t="shared" si="0"/>
        <v>15.733045667548652</v>
      </c>
      <c r="D16" s="2">
        <f>AVERAGE(Table2[MR])</f>
        <v>5.6703302332914713</v>
      </c>
      <c r="E16" s="2">
        <f>Table2[[#This Row],[MR Bar]]/1.128</f>
        <v>5.026888504691021</v>
      </c>
      <c r="F16" s="2">
        <f>Table2[[#This Row],[I Bar]]+Table2[[#This Row],[I Sigma]]</f>
        <v>55.167766544915736</v>
      </c>
      <c r="G16" s="2">
        <f>Table2[[#This Row],[I Bar]]+2*Table2[[#This Row],[I Sigma]]</f>
        <v>60.194655049606752</v>
      </c>
      <c r="H16" s="2">
        <f>Table2[[#This Row],[I Bar]]+3*Table2[[#This Row],[I Sigma]]</f>
        <v>65.221543554297781</v>
      </c>
      <c r="I16" s="2">
        <f>Table2[[#This Row],[I Bar]]-Table2[[#This Row],[I Sigma]]</f>
        <v>45.11398953553369</v>
      </c>
      <c r="J16" s="2">
        <f>Table2[[#This Row],[I Bar]]-2*Table2[[#This Row],[I Sigma]]</f>
        <v>40.087101030842675</v>
      </c>
      <c r="K16" s="2">
        <f>Table2[[#This Row],[I Bar]]-3*Table2[[#This Row],[I Sigma]]</f>
        <v>35.060212526151652</v>
      </c>
      <c r="L16" s="2">
        <f>3.267*Table2[[#This Row],[MR Bar]]</f>
        <v>18.524968872163235</v>
      </c>
      <c r="M16" s="2">
        <v>0</v>
      </c>
    </row>
    <row r="17" spans="1:13" x14ac:dyDescent="0.25">
      <c r="A17" s="2">
        <v>51.234855565825328</v>
      </c>
      <c r="B17" s="2">
        <f>AVERAGE(Table2[I])</f>
        <v>50.140878040224713</v>
      </c>
      <c r="C17" s="2">
        <f t="shared" si="0"/>
        <v>1.6464825254746174</v>
      </c>
      <c r="D17" s="2">
        <f>AVERAGE(Table2[MR])</f>
        <v>5.6703302332914713</v>
      </c>
      <c r="E17" s="2">
        <f>Table2[[#This Row],[MR Bar]]/1.128</f>
        <v>5.026888504691021</v>
      </c>
      <c r="F17" s="2">
        <f>Table2[[#This Row],[I Bar]]+Table2[[#This Row],[I Sigma]]</f>
        <v>55.167766544915736</v>
      </c>
      <c r="G17" s="2">
        <f>Table2[[#This Row],[I Bar]]+2*Table2[[#This Row],[I Sigma]]</f>
        <v>60.194655049606752</v>
      </c>
      <c r="H17" s="2">
        <f>Table2[[#This Row],[I Bar]]+3*Table2[[#This Row],[I Sigma]]</f>
        <v>65.221543554297781</v>
      </c>
      <c r="I17" s="2">
        <f>Table2[[#This Row],[I Bar]]-Table2[[#This Row],[I Sigma]]</f>
        <v>45.11398953553369</v>
      </c>
      <c r="J17" s="2">
        <f>Table2[[#This Row],[I Bar]]-2*Table2[[#This Row],[I Sigma]]</f>
        <v>40.087101030842675</v>
      </c>
      <c r="K17" s="2">
        <f>Table2[[#This Row],[I Bar]]-3*Table2[[#This Row],[I Sigma]]</f>
        <v>35.060212526151652</v>
      </c>
      <c r="L17" s="2">
        <f>3.267*Table2[[#This Row],[MR Bar]]</f>
        <v>18.524968872163235</v>
      </c>
      <c r="M17" s="2">
        <v>0</v>
      </c>
    </row>
    <row r="18" spans="1:13" x14ac:dyDescent="0.25">
      <c r="A18" s="2">
        <v>49.58837304035071</v>
      </c>
      <c r="B18" s="2">
        <f>AVERAGE(Table2[I])</f>
        <v>50.140878040224713</v>
      </c>
      <c r="C18" s="2">
        <f t="shared" si="0"/>
        <v>1.9942895978870041</v>
      </c>
      <c r="D18" s="2">
        <f>AVERAGE(Table2[MR])</f>
        <v>5.6703302332914713</v>
      </c>
      <c r="E18" s="2">
        <f>Table2[[#This Row],[MR Bar]]/1.128</f>
        <v>5.026888504691021</v>
      </c>
      <c r="F18" s="2">
        <f>Table2[[#This Row],[I Bar]]+Table2[[#This Row],[I Sigma]]</f>
        <v>55.167766544915736</v>
      </c>
      <c r="G18" s="2">
        <f>Table2[[#This Row],[I Bar]]+2*Table2[[#This Row],[I Sigma]]</f>
        <v>60.194655049606752</v>
      </c>
      <c r="H18" s="2">
        <f>Table2[[#This Row],[I Bar]]+3*Table2[[#This Row],[I Sigma]]</f>
        <v>65.221543554297781</v>
      </c>
      <c r="I18" s="2">
        <f>Table2[[#This Row],[I Bar]]-Table2[[#This Row],[I Sigma]]</f>
        <v>45.11398953553369</v>
      </c>
      <c r="J18" s="2">
        <f>Table2[[#This Row],[I Bar]]-2*Table2[[#This Row],[I Sigma]]</f>
        <v>40.087101030842675</v>
      </c>
      <c r="K18" s="2">
        <f>Table2[[#This Row],[I Bar]]-3*Table2[[#This Row],[I Sigma]]</f>
        <v>35.060212526151652</v>
      </c>
      <c r="L18" s="2">
        <f>3.267*Table2[[#This Row],[MR Bar]]</f>
        <v>18.524968872163235</v>
      </c>
      <c r="M18" s="2">
        <v>0</v>
      </c>
    </row>
    <row r="19" spans="1:13" x14ac:dyDescent="0.25">
      <c r="A19" s="2">
        <v>47.594083442463706</v>
      </c>
      <c r="B19" s="2">
        <f>AVERAGE(Table2[I])</f>
        <v>50.140878040224713</v>
      </c>
      <c r="C19" s="2">
        <f t="shared" si="0"/>
        <v>2.5621311585556725</v>
      </c>
      <c r="D19" s="2">
        <f>AVERAGE(Table2[MR])</f>
        <v>5.6703302332914713</v>
      </c>
      <c r="E19" s="2">
        <f>Table2[[#This Row],[MR Bar]]/1.128</f>
        <v>5.026888504691021</v>
      </c>
      <c r="F19" s="2">
        <f>Table2[[#This Row],[I Bar]]+Table2[[#This Row],[I Sigma]]</f>
        <v>55.167766544915736</v>
      </c>
      <c r="G19" s="2">
        <f>Table2[[#This Row],[I Bar]]+2*Table2[[#This Row],[I Sigma]]</f>
        <v>60.194655049606752</v>
      </c>
      <c r="H19" s="2">
        <f>Table2[[#This Row],[I Bar]]+3*Table2[[#This Row],[I Sigma]]</f>
        <v>65.221543554297781</v>
      </c>
      <c r="I19" s="2">
        <f>Table2[[#This Row],[I Bar]]-Table2[[#This Row],[I Sigma]]</f>
        <v>45.11398953553369</v>
      </c>
      <c r="J19" s="2">
        <f>Table2[[#This Row],[I Bar]]-2*Table2[[#This Row],[I Sigma]]</f>
        <v>40.087101030842675</v>
      </c>
      <c r="K19" s="2">
        <f>Table2[[#This Row],[I Bar]]-3*Table2[[#This Row],[I Sigma]]</f>
        <v>35.060212526151652</v>
      </c>
      <c r="L19" s="2">
        <f>3.267*Table2[[#This Row],[MR Bar]]</f>
        <v>18.524968872163235</v>
      </c>
      <c r="M19" s="2">
        <v>0</v>
      </c>
    </row>
    <row r="20" spans="1:13" x14ac:dyDescent="0.25">
      <c r="A20" s="2">
        <v>45.031952283908034</v>
      </c>
      <c r="B20" s="2">
        <f>AVERAGE(Table2[I])</f>
        <v>50.140878040224713</v>
      </c>
      <c r="C20" s="2">
        <f t="shared" si="0"/>
        <v>10.699184828828017</v>
      </c>
      <c r="D20" s="2">
        <f>AVERAGE(Table2[MR])</f>
        <v>5.6703302332914713</v>
      </c>
      <c r="E20" s="2">
        <f>Table2[[#This Row],[MR Bar]]/1.128</f>
        <v>5.026888504691021</v>
      </c>
      <c r="F20" s="2">
        <f>Table2[[#This Row],[I Bar]]+Table2[[#This Row],[I Sigma]]</f>
        <v>55.167766544915736</v>
      </c>
      <c r="G20" s="2">
        <f>Table2[[#This Row],[I Bar]]+2*Table2[[#This Row],[I Sigma]]</f>
        <v>60.194655049606752</v>
      </c>
      <c r="H20" s="2">
        <f>Table2[[#This Row],[I Bar]]+3*Table2[[#This Row],[I Sigma]]</f>
        <v>65.221543554297781</v>
      </c>
      <c r="I20" s="2">
        <f>Table2[[#This Row],[I Bar]]-Table2[[#This Row],[I Sigma]]</f>
        <v>45.11398953553369</v>
      </c>
      <c r="J20" s="2">
        <f>Table2[[#This Row],[I Bar]]-2*Table2[[#This Row],[I Sigma]]</f>
        <v>40.087101030842675</v>
      </c>
      <c r="K20" s="2">
        <f>Table2[[#This Row],[I Bar]]-3*Table2[[#This Row],[I Sigma]]</f>
        <v>35.060212526151652</v>
      </c>
      <c r="L20" s="2">
        <f>3.267*Table2[[#This Row],[MR Bar]]</f>
        <v>18.524968872163235</v>
      </c>
      <c r="M20" s="2">
        <v>0</v>
      </c>
    </row>
    <row r="21" spans="1:13" x14ac:dyDescent="0.25">
      <c r="A21" s="2">
        <v>55.73113711273605</v>
      </c>
      <c r="B21" s="2">
        <f>AVERAGE(Table2[I])</f>
        <v>50.140878040224713</v>
      </c>
      <c r="C21" s="2">
        <f t="shared" si="0"/>
        <v>9.8886617795228986</v>
      </c>
      <c r="D21" s="2">
        <f>AVERAGE(Table2[MR])</f>
        <v>5.6703302332914713</v>
      </c>
      <c r="E21" s="2">
        <f>Table2[[#This Row],[MR Bar]]/1.128</f>
        <v>5.026888504691021</v>
      </c>
      <c r="F21" s="2">
        <f>Table2[[#This Row],[I Bar]]+Table2[[#This Row],[I Sigma]]</f>
        <v>55.167766544915736</v>
      </c>
      <c r="G21" s="2">
        <f>Table2[[#This Row],[I Bar]]+2*Table2[[#This Row],[I Sigma]]</f>
        <v>60.194655049606752</v>
      </c>
      <c r="H21" s="2">
        <f>Table2[[#This Row],[I Bar]]+3*Table2[[#This Row],[I Sigma]]</f>
        <v>65.221543554297781</v>
      </c>
      <c r="I21" s="2">
        <f>Table2[[#This Row],[I Bar]]-Table2[[#This Row],[I Sigma]]</f>
        <v>45.11398953553369</v>
      </c>
      <c r="J21" s="2">
        <f>Table2[[#This Row],[I Bar]]-2*Table2[[#This Row],[I Sigma]]</f>
        <v>40.087101030842675</v>
      </c>
      <c r="K21" s="2">
        <f>Table2[[#This Row],[I Bar]]-3*Table2[[#This Row],[I Sigma]]</f>
        <v>35.060212526151652</v>
      </c>
      <c r="L21" s="2">
        <f>3.267*Table2[[#This Row],[MR Bar]]</f>
        <v>18.524968872163235</v>
      </c>
      <c r="M21" s="2">
        <v>0</v>
      </c>
    </row>
    <row r="22" spans="1:13" x14ac:dyDescent="0.25">
      <c r="A22" s="2">
        <v>45.842475333213152</v>
      </c>
      <c r="B22" s="2">
        <f>AVERAGE(Table2[I])</f>
        <v>50.140878040224713</v>
      </c>
      <c r="C22" s="2">
        <f t="shared" si="0"/>
        <v>8.585327615894613</v>
      </c>
      <c r="D22" s="2">
        <f>AVERAGE(Table2[MR])</f>
        <v>5.6703302332914713</v>
      </c>
      <c r="E22" s="2">
        <f>Table2[[#This Row],[MR Bar]]/1.128</f>
        <v>5.026888504691021</v>
      </c>
      <c r="F22" s="2">
        <f>Table2[[#This Row],[I Bar]]+Table2[[#This Row],[I Sigma]]</f>
        <v>55.167766544915736</v>
      </c>
      <c r="G22" s="2">
        <f>Table2[[#This Row],[I Bar]]+2*Table2[[#This Row],[I Sigma]]</f>
        <v>60.194655049606752</v>
      </c>
      <c r="H22" s="2">
        <f>Table2[[#This Row],[I Bar]]+3*Table2[[#This Row],[I Sigma]]</f>
        <v>65.221543554297781</v>
      </c>
      <c r="I22" s="2">
        <f>Table2[[#This Row],[I Bar]]-Table2[[#This Row],[I Sigma]]</f>
        <v>45.11398953553369</v>
      </c>
      <c r="J22" s="2">
        <f>Table2[[#This Row],[I Bar]]-2*Table2[[#This Row],[I Sigma]]</f>
        <v>40.087101030842675</v>
      </c>
      <c r="K22" s="2">
        <f>Table2[[#This Row],[I Bar]]-3*Table2[[#This Row],[I Sigma]]</f>
        <v>35.060212526151652</v>
      </c>
      <c r="L22" s="2">
        <f>3.267*Table2[[#This Row],[MR Bar]]</f>
        <v>18.524968872163235</v>
      </c>
      <c r="M22" s="2">
        <v>0</v>
      </c>
    </row>
    <row r="23" spans="1:13" x14ac:dyDescent="0.25">
      <c r="A23" s="2">
        <v>37.257147717318539</v>
      </c>
      <c r="B23" s="2">
        <f>AVERAGE(Table2[I])</f>
        <v>50.140878040224713</v>
      </c>
      <c r="C23" s="2">
        <f t="shared" si="0"/>
        <v>13.379139294689601</v>
      </c>
      <c r="D23" s="2">
        <f>AVERAGE(Table2[MR])</f>
        <v>5.6703302332914713</v>
      </c>
      <c r="E23" s="2">
        <f>Table2[[#This Row],[MR Bar]]/1.128</f>
        <v>5.026888504691021</v>
      </c>
      <c r="F23" s="2">
        <f>Table2[[#This Row],[I Bar]]+Table2[[#This Row],[I Sigma]]</f>
        <v>55.167766544915736</v>
      </c>
      <c r="G23" s="2">
        <f>Table2[[#This Row],[I Bar]]+2*Table2[[#This Row],[I Sigma]]</f>
        <v>60.194655049606752</v>
      </c>
      <c r="H23" s="2">
        <f>Table2[[#This Row],[I Bar]]+3*Table2[[#This Row],[I Sigma]]</f>
        <v>65.221543554297781</v>
      </c>
      <c r="I23" s="2">
        <f>Table2[[#This Row],[I Bar]]-Table2[[#This Row],[I Sigma]]</f>
        <v>45.11398953553369</v>
      </c>
      <c r="J23" s="2">
        <f>Table2[[#This Row],[I Bar]]-2*Table2[[#This Row],[I Sigma]]</f>
        <v>40.087101030842675</v>
      </c>
      <c r="K23" s="2">
        <f>Table2[[#This Row],[I Bar]]-3*Table2[[#This Row],[I Sigma]]</f>
        <v>35.060212526151652</v>
      </c>
      <c r="L23" s="2">
        <f>3.267*Table2[[#This Row],[MR Bar]]</f>
        <v>18.524968872163235</v>
      </c>
      <c r="M23" s="2">
        <v>0</v>
      </c>
    </row>
    <row r="24" spans="1:13" x14ac:dyDescent="0.25">
      <c r="A24" s="2">
        <v>50.63628701200814</v>
      </c>
      <c r="B24" s="2">
        <f>AVERAGE(Table2[I])</f>
        <v>50.140878040224713</v>
      </c>
      <c r="C24" s="2">
        <f t="shared" si="0"/>
        <v>3.6400376657806603</v>
      </c>
      <c r="D24" s="2">
        <f>AVERAGE(Table2[MR])</f>
        <v>5.6703302332914713</v>
      </c>
      <c r="E24" s="2">
        <f>Table2[[#This Row],[MR Bar]]/1.128</f>
        <v>5.026888504691021</v>
      </c>
      <c r="F24" s="2">
        <f>Table2[[#This Row],[I Bar]]+Table2[[#This Row],[I Sigma]]</f>
        <v>55.167766544915736</v>
      </c>
      <c r="G24" s="2">
        <f>Table2[[#This Row],[I Bar]]+2*Table2[[#This Row],[I Sigma]]</f>
        <v>60.194655049606752</v>
      </c>
      <c r="H24" s="2">
        <f>Table2[[#This Row],[I Bar]]+3*Table2[[#This Row],[I Sigma]]</f>
        <v>65.221543554297781</v>
      </c>
      <c r="I24" s="2">
        <f>Table2[[#This Row],[I Bar]]-Table2[[#This Row],[I Sigma]]</f>
        <v>45.11398953553369</v>
      </c>
      <c r="J24" s="2">
        <f>Table2[[#This Row],[I Bar]]-2*Table2[[#This Row],[I Sigma]]</f>
        <v>40.087101030842675</v>
      </c>
      <c r="K24" s="2">
        <f>Table2[[#This Row],[I Bar]]-3*Table2[[#This Row],[I Sigma]]</f>
        <v>35.060212526151652</v>
      </c>
      <c r="L24" s="2">
        <f>3.267*Table2[[#This Row],[MR Bar]]</f>
        <v>18.524968872163235</v>
      </c>
      <c r="M24" s="2">
        <v>0</v>
      </c>
    </row>
    <row r="25" spans="1:13" x14ac:dyDescent="0.25">
      <c r="A25" s="2">
        <v>46.996249346227479</v>
      </c>
      <c r="B25" s="2">
        <f>AVERAGE(Table2[I])</f>
        <v>50.140878040224713</v>
      </c>
      <c r="C25" s="2">
        <f t="shared" si="0"/>
        <v>3.7914165182423005</v>
      </c>
      <c r="D25" s="2">
        <f>AVERAGE(Table2[MR])</f>
        <v>5.6703302332914713</v>
      </c>
      <c r="E25" s="2">
        <f>Table2[[#This Row],[MR Bar]]/1.128</f>
        <v>5.026888504691021</v>
      </c>
      <c r="F25" s="2">
        <f>Table2[[#This Row],[I Bar]]+Table2[[#This Row],[I Sigma]]</f>
        <v>55.167766544915736</v>
      </c>
      <c r="G25" s="2">
        <f>Table2[[#This Row],[I Bar]]+2*Table2[[#This Row],[I Sigma]]</f>
        <v>60.194655049606752</v>
      </c>
      <c r="H25" s="2">
        <f>Table2[[#This Row],[I Bar]]+3*Table2[[#This Row],[I Sigma]]</f>
        <v>65.221543554297781</v>
      </c>
      <c r="I25" s="2">
        <f>Table2[[#This Row],[I Bar]]-Table2[[#This Row],[I Sigma]]</f>
        <v>45.11398953553369</v>
      </c>
      <c r="J25" s="2">
        <f>Table2[[#This Row],[I Bar]]-2*Table2[[#This Row],[I Sigma]]</f>
        <v>40.087101030842675</v>
      </c>
      <c r="K25" s="2">
        <f>Table2[[#This Row],[I Bar]]-3*Table2[[#This Row],[I Sigma]]</f>
        <v>35.060212526151652</v>
      </c>
      <c r="L25" s="2">
        <f>3.267*Table2[[#This Row],[MR Bar]]</f>
        <v>18.524968872163235</v>
      </c>
      <c r="M25" s="2">
        <v>0</v>
      </c>
    </row>
    <row r="26" spans="1:13" x14ac:dyDescent="0.25">
      <c r="A26" s="2">
        <v>50.78766586446978</v>
      </c>
      <c r="B26" s="2">
        <f>AVERAGE(Table2[I])</f>
        <v>50.140878040224713</v>
      </c>
      <c r="C26" s="2">
        <f t="shared" si="0"/>
        <v>3.3414558269413916</v>
      </c>
      <c r="D26" s="2">
        <f>AVERAGE(Table2[MR])</f>
        <v>5.6703302332914713</v>
      </c>
      <c r="E26" s="2">
        <f>Table2[[#This Row],[MR Bar]]/1.128</f>
        <v>5.026888504691021</v>
      </c>
      <c r="F26" s="2">
        <f>Table2[[#This Row],[I Bar]]+Table2[[#This Row],[I Sigma]]</f>
        <v>55.167766544915736</v>
      </c>
      <c r="G26" s="2">
        <f>Table2[[#This Row],[I Bar]]+2*Table2[[#This Row],[I Sigma]]</f>
        <v>60.194655049606752</v>
      </c>
      <c r="H26" s="2">
        <f>Table2[[#This Row],[I Bar]]+3*Table2[[#This Row],[I Sigma]]</f>
        <v>65.221543554297781</v>
      </c>
      <c r="I26" s="2">
        <f>Table2[[#This Row],[I Bar]]-Table2[[#This Row],[I Sigma]]</f>
        <v>45.11398953553369</v>
      </c>
      <c r="J26" s="2">
        <f>Table2[[#This Row],[I Bar]]-2*Table2[[#This Row],[I Sigma]]</f>
        <v>40.087101030842675</v>
      </c>
      <c r="K26" s="2">
        <f>Table2[[#This Row],[I Bar]]-3*Table2[[#This Row],[I Sigma]]</f>
        <v>35.060212526151652</v>
      </c>
      <c r="L26" s="2">
        <f>3.267*Table2[[#This Row],[MR Bar]]</f>
        <v>18.524968872163235</v>
      </c>
      <c r="M26" s="2">
        <v>0</v>
      </c>
    </row>
    <row r="27" spans="1:13" x14ac:dyDescent="0.25">
      <c r="A27" s="2">
        <v>47.446210037528388</v>
      </c>
      <c r="B27" s="2">
        <f>AVERAGE(Table2[I])</f>
        <v>50.140878040224713</v>
      </c>
      <c r="C27" s="2">
        <f t="shared" si="0"/>
        <v>6.024466206566089</v>
      </c>
      <c r="D27" s="2">
        <f>AVERAGE(Table2[MR])</f>
        <v>5.6703302332914713</v>
      </c>
      <c r="E27" s="2">
        <f>Table2[[#This Row],[MR Bar]]/1.128</f>
        <v>5.026888504691021</v>
      </c>
      <c r="F27" s="2">
        <f>Table2[[#This Row],[I Bar]]+Table2[[#This Row],[I Sigma]]</f>
        <v>55.167766544915736</v>
      </c>
      <c r="G27" s="2">
        <f>Table2[[#This Row],[I Bar]]+2*Table2[[#This Row],[I Sigma]]</f>
        <v>60.194655049606752</v>
      </c>
      <c r="H27" s="2">
        <f>Table2[[#This Row],[I Bar]]+3*Table2[[#This Row],[I Sigma]]</f>
        <v>65.221543554297781</v>
      </c>
      <c r="I27" s="2">
        <f>Table2[[#This Row],[I Bar]]-Table2[[#This Row],[I Sigma]]</f>
        <v>45.11398953553369</v>
      </c>
      <c r="J27" s="2">
        <f>Table2[[#This Row],[I Bar]]-2*Table2[[#This Row],[I Sigma]]</f>
        <v>40.087101030842675</v>
      </c>
      <c r="K27" s="2">
        <f>Table2[[#This Row],[I Bar]]-3*Table2[[#This Row],[I Sigma]]</f>
        <v>35.060212526151652</v>
      </c>
      <c r="L27" s="2">
        <f>3.267*Table2[[#This Row],[MR Bar]]</f>
        <v>18.524968872163235</v>
      </c>
      <c r="M27" s="2">
        <v>0</v>
      </c>
    </row>
    <row r="28" spans="1:13" x14ac:dyDescent="0.25">
      <c r="A28" s="2">
        <v>53.470676244094477</v>
      </c>
      <c r="B28" s="2">
        <f>AVERAGE(Table2[I])</f>
        <v>50.140878040224713</v>
      </c>
      <c r="C28" s="2">
        <f t="shared" si="0"/>
        <v>1.0221990080617687</v>
      </c>
      <c r="D28" s="2">
        <f>AVERAGE(Table2[MR])</f>
        <v>5.6703302332914713</v>
      </c>
      <c r="E28" s="2">
        <f>Table2[[#This Row],[MR Bar]]/1.128</f>
        <v>5.026888504691021</v>
      </c>
      <c r="F28" s="2">
        <f>Table2[[#This Row],[I Bar]]+Table2[[#This Row],[I Sigma]]</f>
        <v>55.167766544915736</v>
      </c>
      <c r="G28" s="2">
        <f>Table2[[#This Row],[I Bar]]+2*Table2[[#This Row],[I Sigma]]</f>
        <v>60.194655049606752</v>
      </c>
      <c r="H28" s="2">
        <f>Table2[[#This Row],[I Bar]]+3*Table2[[#This Row],[I Sigma]]</f>
        <v>65.221543554297781</v>
      </c>
      <c r="I28" s="2">
        <f>Table2[[#This Row],[I Bar]]-Table2[[#This Row],[I Sigma]]</f>
        <v>45.11398953553369</v>
      </c>
      <c r="J28" s="2">
        <f>Table2[[#This Row],[I Bar]]-2*Table2[[#This Row],[I Sigma]]</f>
        <v>40.087101030842675</v>
      </c>
      <c r="K28" s="2">
        <f>Table2[[#This Row],[I Bar]]-3*Table2[[#This Row],[I Sigma]]</f>
        <v>35.060212526151652</v>
      </c>
      <c r="L28" s="2">
        <f>3.267*Table2[[#This Row],[MR Bar]]</f>
        <v>18.524968872163235</v>
      </c>
      <c r="M28" s="2">
        <v>0</v>
      </c>
    </row>
    <row r="29" spans="1:13" x14ac:dyDescent="0.25">
      <c r="A29" s="2">
        <v>54.492875252156246</v>
      </c>
      <c r="B29" s="2">
        <f>AVERAGE(Table2[I])</f>
        <v>50.140878040224713</v>
      </c>
      <c r="C29" s="2">
        <f t="shared" si="0"/>
        <v>6.7777651227093401</v>
      </c>
      <c r="D29" s="2">
        <f>AVERAGE(Table2[MR])</f>
        <v>5.6703302332914713</v>
      </c>
      <c r="E29" s="2">
        <f>Table2[[#This Row],[MR Bar]]/1.128</f>
        <v>5.026888504691021</v>
      </c>
      <c r="F29" s="2">
        <f>Table2[[#This Row],[I Bar]]+Table2[[#This Row],[I Sigma]]</f>
        <v>55.167766544915736</v>
      </c>
      <c r="G29" s="2">
        <f>Table2[[#This Row],[I Bar]]+2*Table2[[#This Row],[I Sigma]]</f>
        <v>60.194655049606752</v>
      </c>
      <c r="H29" s="2">
        <f>Table2[[#This Row],[I Bar]]+3*Table2[[#This Row],[I Sigma]]</f>
        <v>65.221543554297781</v>
      </c>
      <c r="I29" s="2">
        <f>Table2[[#This Row],[I Bar]]-Table2[[#This Row],[I Sigma]]</f>
        <v>45.11398953553369</v>
      </c>
      <c r="J29" s="2">
        <f>Table2[[#This Row],[I Bar]]-2*Table2[[#This Row],[I Sigma]]</f>
        <v>40.087101030842675</v>
      </c>
      <c r="K29" s="2">
        <f>Table2[[#This Row],[I Bar]]-3*Table2[[#This Row],[I Sigma]]</f>
        <v>35.060212526151652</v>
      </c>
      <c r="L29" s="2">
        <f>3.267*Table2[[#This Row],[MR Bar]]</f>
        <v>18.524968872163235</v>
      </c>
      <c r="M29" s="2">
        <v>0</v>
      </c>
    </row>
    <row r="30" spans="1:13" x14ac:dyDescent="0.25">
      <c r="A30" s="2">
        <v>47.715110129446906</v>
      </c>
      <c r="B30" s="2">
        <f>AVERAGE(Table2[I])</f>
        <v>50.140878040224713</v>
      </c>
      <c r="C30" s="2">
        <f t="shared" si="0"/>
        <v>5.0273783666238856</v>
      </c>
      <c r="D30" s="2">
        <f>AVERAGE(Table2[MR])</f>
        <v>5.6703302332914713</v>
      </c>
      <c r="E30" s="2">
        <f>Table2[[#This Row],[MR Bar]]/1.128</f>
        <v>5.026888504691021</v>
      </c>
      <c r="F30" s="2">
        <f>Table2[[#This Row],[I Bar]]+Table2[[#This Row],[I Sigma]]</f>
        <v>55.167766544915736</v>
      </c>
      <c r="G30" s="2">
        <f>Table2[[#This Row],[I Bar]]+2*Table2[[#This Row],[I Sigma]]</f>
        <v>60.194655049606752</v>
      </c>
      <c r="H30" s="2">
        <f>Table2[[#This Row],[I Bar]]+3*Table2[[#This Row],[I Sigma]]</f>
        <v>65.221543554297781</v>
      </c>
      <c r="I30" s="2">
        <f>Table2[[#This Row],[I Bar]]-Table2[[#This Row],[I Sigma]]</f>
        <v>45.11398953553369</v>
      </c>
      <c r="J30" s="2">
        <f>Table2[[#This Row],[I Bar]]-2*Table2[[#This Row],[I Sigma]]</f>
        <v>40.087101030842675</v>
      </c>
      <c r="K30" s="2">
        <f>Table2[[#This Row],[I Bar]]-3*Table2[[#This Row],[I Sigma]]</f>
        <v>35.060212526151652</v>
      </c>
      <c r="L30" s="2">
        <f>3.267*Table2[[#This Row],[MR Bar]]</f>
        <v>18.524968872163235</v>
      </c>
      <c r="M30" s="2">
        <v>0</v>
      </c>
    </row>
    <row r="31" spans="1:13" x14ac:dyDescent="0.25">
      <c r="A31" s="2">
        <v>52.742488496070791</v>
      </c>
      <c r="B31" s="2">
        <f>AVERAGE(Table2[I])</f>
        <v>50.140878040224713</v>
      </c>
      <c r="C31" s="2">
        <f t="shared" si="0"/>
        <v>5.8762986866900349</v>
      </c>
      <c r="D31" s="2">
        <f>AVERAGE(Table2[MR])</f>
        <v>5.6703302332914713</v>
      </c>
      <c r="E31" s="2">
        <f>Table2[[#This Row],[MR Bar]]/1.128</f>
        <v>5.026888504691021</v>
      </c>
      <c r="F31" s="2">
        <f>Table2[[#This Row],[I Bar]]+Table2[[#This Row],[I Sigma]]</f>
        <v>55.167766544915736</v>
      </c>
      <c r="G31" s="2">
        <f>Table2[[#This Row],[I Bar]]+2*Table2[[#This Row],[I Sigma]]</f>
        <v>60.194655049606752</v>
      </c>
      <c r="H31" s="2">
        <f>Table2[[#This Row],[I Bar]]+3*Table2[[#This Row],[I Sigma]]</f>
        <v>65.221543554297781</v>
      </c>
      <c r="I31" s="2">
        <f>Table2[[#This Row],[I Bar]]-Table2[[#This Row],[I Sigma]]</f>
        <v>45.11398953553369</v>
      </c>
      <c r="J31" s="2">
        <f>Table2[[#This Row],[I Bar]]-2*Table2[[#This Row],[I Sigma]]</f>
        <v>40.087101030842675</v>
      </c>
      <c r="K31" s="2">
        <f>Table2[[#This Row],[I Bar]]-3*Table2[[#This Row],[I Sigma]]</f>
        <v>35.060212526151652</v>
      </c>
      <c r="L31" s="2">
        <f>3.267*Table2[[#This Row],[MR Bar]]</f>
        <v>18.524968872163235</v>
      </c>
      <c r="M31" s="2">
        <v>0</v>
      </c>
    </row>
    <row r="32" spans="1:13" x14ac:dyDescent="0.25">
      <c r="A32" s="2">
        <v>46.866189809380757</v>
      </c>
      <c r="B32" s="2">
        <f>AVERAGE(Table2[I])</f>
        <v>50.140878040224713</v>
      </c>
      <c r="C32" s="2">
        <f t="shared" si="0"/>
        <v>3.9176830599545482</v>
      </c>
      <c r="D32" s="2">
        <f>AVERAGE(Table2[MR])</f>
        <v>5.6703302332914713</v>
      </c>
      <c r="E32" s="2">
        <f>Table2[[#This Row],[MR Bar]]/1.128</f>
        <v>5.026888504691021</v>
      </c>
      <c r="F32" s="2">
        <f>Table2[[#This Row],[I Bar]]+Table2[[#This Row],[I Sigma]]</f>
        <v>55.167766544915736</v>
      </c>
      <c r="G32" s="2">
        <f>Table2[[#This Row],[I Bar]]+2*Table2[[#This Row],[I Sigma]]</f>
        <v>60.194655049606752</v>
      </c>
      <c r="H32" s="2">
        <f>Table2[[#This Row],[I Bar]]+3*Table2[[#This Row],[I Sigma]]</f>
        <v>65.221543554297781</v>
      </c>
      <c r="I32" s="2">
        <f>Table2[[#This Row],[I Bar]]-Table2[[#This Row],[I Sigma]]</f>
        <v>45.11398953553369</v>
      </c>
      <c r="J32" s="2">
        <f>Table2[[#This Row],[I Bar]]-2*Table2[[#This Row],[I Sigma]]</f>
        <v>40.087101030842675</v>
      </c>
      <c r="K32" s="2">
        <f>Table2[[#This Row],[I Bar]]-3*Table2[[#This Row],[I Sigma]]</f>
        <v>35.060212526151652</v>
      </c>
      <c r="L32" s="2">
        <f>3.267*Table2[[#This Row],[MR Bar]]</f>
        <v>18.524968872163235</v>
      </c>
      <c r="M32" s="2">
        <v>0</v>
      </c>
    </row>
    <row r="33" spans="1:13" x14ac:dyDescent="0.25">
      <c r="A33" s="2">
        <v>50.783872869335305</v>
      </c>
      <c r="B33" s="2">
        <f>AVERAGE(Table2[I])</f>
        <v>50.140878040224713</v>
      </c>
      <c r="C33" s="2">
        <f t="shared" si="0"/>
        <v>2.0891095738926637</v>
      </c>
      <c r="D33" s="2">
        <f>AVERAGE(Table2[MR])</f>
        <v>5.6703302332914713</v>
      </c>
      <c r="E33" s="2">
        <f>Table2[[#This Row],[MR Bar]]/1.128</f>
        <v>5.026888504691021</v>
      </c>
      <c r="F33" s="2">
        <f>Table2[[#This Row],[I Bar]]+Table2[[#This Row],[I Sigma]]</f>
        <v>55.167766544915736</v>
      </c>
      <c r="G33" s="2">
        <f>Table2[[#This Row],[I Bar]]+2*Table2[[#This Row],[I Sigma]]</f>
        <v>60.194655049606752</v>
      </c>
      <c r="H33" s="2">
        <f>Table2[[#This Row],[I Bar]]+3*Table2[[#This Row],[I Sigma]]</f>
        <v>65.221543554297781</v>
      </c>
      <c r="I33" s="2">
        <f>Table2[[#This Row],[I Bar]]-Table2[[#This Row],[I Sigma]]</f>
        <v>45.11398953553369</v>
      </c>
      <c r="J33" s="2">
        <f>Table2[[#This Row],[I Bar]]-2*Table2[[#This Row],[I Sigma]]</f>
        <v>40.087101030842675</v>
      </c>
      <c r="K33" s="2">
        <f>Table2[[#This Row],[I Bar]]-3*Table2[[#This Row],[I Sigma]]</f>
        <v>35.060212526151652</v>
      </c>
      <c r="L33" s="2">
        <f>3.267*Table2[[#This Row],[MR Bar]]</f>
        <v>18.524968872163235</v>
      </c>
      <c r="M33" s="2">
        <v>0</v>
      </c>
    </row>
    <row r="34" spans="1:13" x14ac:dyDescent="0.25">
      <c r="A34" s="2">
        <v>48.694763295442641</v>
      </c>
      <c r="B34" s="2">
        <f>AVERAGE(Table2[I])</f>
        <v>50.140878040224713</v>
      </c>
      <c r="C34" s="2">
        <f t="shared" ref="C34:C51" si="1">MAX(A34:A35)-MIN(A34:A35)</f>
        <v>3.1245553907195927</v>
      </c>
      <c r="D34" s="2">
        <f>AVERAGE(Table2[MR])</f>
        <v>5.6703302332914713</v>
      </c>
      <c r="E34" s="2">
        <f>Table2[[#This Row],[MR Bar]]/1.128</f>
        <v>5.026888504691021</v>
      </c>
      <c r="F34" s="2">
        <f>Table2[[#This Row],[I Bar]]+Table2[[#This Row],[I Sigma]]</f>
        <v>55.167766544915736</v>
      </c>
      <c r="G34" s="2">
        <f>Table2[[#This Row],[I Bar]]+2*Table2[[#This Row],[I Sigma]]</f>
        <v>60.194655049606752</v>
      </c>
      <c r="H34" s="2">
        <f>Table2[[#This Row],[I Bar]]+3*Table2[[#This Row],[I Sigma]]</f>
        <v>65.221543554297781</v>
      </c>
      <c r="I34" s="2">
        <f>Table2[[#This Row],[I Bar]]-Table2[[#This Row],[I Sigma]]</f>
        <v>45.11398953553369</v>
      </c>
      <c r="J34" s="2">
        <f>Table2[[#This Row],[I Bar]]-2*Table2[[#This Row],[I Sigma]]</f>
        <v>40.087101030842675</v>
      </c>
      <c r="K34" s="2">
        <f>Table2[[#This Row],[I Bar]]-3*Table2[[#This Row],[I Sigma]]</f>
        <v>35.060212526151652</v>
      </c>
      <c r="L34" s="2">
        <f>3.267*Table2[[#This Row],[MR Bar]]</f>
        <v>18.524968872163235</v>
      </c>
      <c r="M34" s="2">
        <v>0</v>
      </c>
    </row>
    <row r="35" spans="1:13" x14ac:dyDescent="0.25">
      <c r="A35" s="2">
        <v>51.819318686162234</v>
      </c>
      <c r="B35" s="2">
        <f>AVERAGE(Table2[I])</f>
        <v>50.140878040224713</v>
      </c>
      <c r="C35" s="2">
        <f t="shared" si="1"/>
        <v>6.546123758346269</v>
      </c>
      <c r="D35" s="2">
        <f>AVERAGE(Table2[MR])</f>
        <v>5.6703302332914713</v>
      </c>
      <c r="E35" s="2">
        <f>Table2[[#This Row],[MR Bar]]/1.128</f>
        <v>5.026888504691021</v>
      </c>
      <c r="F35" s="2">
        <f>Table2[[#This Row],[I Bar]]+Table2[[#This Row],[I Sigma]]</f>
        <v>55.167766544915736</v>
      </c>
      <c r="G35" s="2">
        <f>Table2[[#This Row],[I Bar]]+2*Table2[[#This Row],[I Sigma]]</f>
        <v>60.194655049606752</v>
      </c>
      <c r="H35" s="2">
        <f>Table2[[#This Row],[I Bar]]+3*Table2[[#This Row],[I Sigma]]</f>
        <v>65.221543554297781</v>
      </c>
      <c r="I35" s="2">
        <f>Table2[[#This Row],[I Bar]]-Table2[[#This Row],[I Sigma]]</f>
        <v>45.11398953553369</v>
      </c>
      <c r="J35" s="2">
        <f>Table2[[#This Row],[I Bar]]-2*Table2[[#This Row],[I Sigma]]</f>
        <v>40.087101030842675</v>
      </c>
      <c r="K35" s="2">
        <f>Table2[[#This Row],[I Bar]]-3*Table2[[#This Row],[I Sigma]]</f>
        <v>35.060212526151652</v>
      </c>
      <c r="L35" s="2">
        <f>3.267*Table2[[#This Row],[MR Bar]]</f>
        <v>18.524968872163235</v>
      </c>
      <c r="M35" s="2">
        <v>0</v>
      </c>
    </row>
    <row r="36" spans="1:13" x14ac:dyDescent="0.25">
      <c r="A36" s="2">
        <v>45.273194927815965</v>
      </c>
      <c r="B36" s="2">
        <f>AVERAGE(Table2[I])</f>
        <v>50.140878040224713</v>
      </c>
      <c r="C36" s="2">
        <f t="shared" si="1"/>
        <v>7.6459901173646259</v>
      </c>
      <c r="D36" s="2">
        <f>AVERAGE(Table2[MR])</f>
        <v>5.6703302332914713</v>
      </c>
      <c r="E36" s="2">
        <f>Table2[[#This Row],[MR Bar]]/1.128</f>
        <v>5.026888504691021</v>
      </c>
      <c r="F36" s="2">
        <f>Table2[[#This Row],[I Bar]]+Table2[[#This Row],[I Sigma]]</f>
        <v>55.167766544915736</v>
      </c>
      <c r="G36" s="2">
        <f>Table2[[#This Row],[I Bar]]+2*Table2[[#This Row],[I Sigma]]</f>
        <v>60.194655049606752</v>
      </c>
      <c r="H36" s="2">
        <f>Table2[[#This Row],[I Bar]]+3*Table2[[#This Row],[I Sigma]]</f>
        <v>65.221543554297781</v>
      </c>
      <c r="I36" s="2">
        <f>Table2[[#This Row],[I Bar]]-Table2[[#This Row],[I Sigma]]</f>
        <v>45.11398953553369</v>
      </c>
      <c r="J36" s="2">
        <f>Table2[[#This Row],[I Bar]]-2*Table2[[#This Row],[I Sigma]]</f>
        <v>40.087101030842675</v>
      </c>
      <c r="K36" s="2">
        <f>Table2[[#This Row],[I Bar]]-3*Table2[[#This Row],[I Sigma]]</f>
        <v>35.060212526151652</v>
      </c>
      <c r="L36" s="2">
        <f>3.267*Table2[[#This Row],[MR Bar]]</f>
        <v>18.524968872163235</v>
      </c>
      <c r="M36" s="2">
        <v>0</v>
      </c>
    </row>
    <row r="37" spans="1:13" x14ac:dyDescent="0.25">
      <c r="A37" s="2">
        <v>52.919185045180591</v>
      </c>
      <c r="B37" s="2">
        <f>AVERAGE(Table2[I])</f>
        <v>50.140878040224713</v>
      </c>
      <c r="C37" s="2">
        <f t="shared" si="1"/>
        <v>5.8755080239146977</v>
      </c>
      <c r="D37" s="2">
        <f>AVERAGE(Table2[MR])</f>
        <v>5.6703302332914713</v>
      </c>
      <c r="E37" s="2">
        <f>Table2[[#This Row],[MR Bar]]/1.128</f>
        <v>5.026888504691021</v>
      </c>
      <c r="F37" s="2">
        <f>Table2[[#This Row],[I Bar]]+Table2[[#This Row],[I Sigma]]</f>
        <v>55.167766544915736</v>
      </c>
      <c r="G37" s="2">
        <f>Table2[[#This Row],[I Bar]]+2*Table2[[#This Row],[I Sigma]]</f>
        <v>60.194655049606752</v>
      </c>
      <c r="H37" s="2">
        <f>Table2[[#This Row],[I Bar]]+3*Table2[[#This Row],[I Sigma]]</f>
        <v>65.221543554297781</v>
      </c>
      <c r="I37" s="2">
        <f>Table2[[#This Row],[I Bar]]-Table2[[#This Row],[I Sigma]]</f>
        <v>45.11398953553369</v>
      </c>
      <c r="J37" s="2">
        <f>Table2[[#This Row],[I Bar]]-2*Table2[[#This Row],[I Sigma]]</f>
        <v>40.087101030842675</v>
      </c>
      <c r="K37" s="2">
        <f>Table2[[#This Row],[I Bar]]-3*Table2[[#This Row],[I Sigma]]</f>
        <v>35.060212526151652</v>
      </c>
      <c r="L37" s="2">
        <f>3.267*Table2[[#This Row],[MR Bar]]</f>
        <v>18.524968872163235</v>
      </c>
      <c r="M37" s="2">
        <v>0</v>
      </c>
    </row>
    <row r="38" spans="1:13" x14ac:dyDescent="0.25">
      <c r="A38" s="2">
        <v>58.794693069095288</v>
      </c>
      <c r="B38" s="2">
        <f>AVERAGE(Table2[I])</f>
        <v>50.140878040224713</v>
      </c>
      <c r="C38" s="2">
        <f t="shared" si="1"/>
        <v>6.9339269768668075</v>
      </c>
      <c r="D38" s="2">
        <f>AVERAGE(Table2[MR])</f>
        <v>5.6703302332914713</v>
      </c>
      <c r="E38" s="2">
        <f>Table2[[#This Row],[MR Bar]]/1.128</f>
        <v>5.026888504691021</v>
      </c>
      <c r="F38" s="2">
        <f>Table2[[#This Row],[I Bar]]+Table2[[#This Row],[I Sigma]]</f>
        <v>55.167766544915736</v>
      </c>
      <c r="G38" s="2">
        <f>Table2[[#This Row],[I Bar]]+2*Table2[[#This Row],[I Sigma]]</f>
        <v>60.194655049606752</v>
      </c>
      <c r="H38" s="2">
        <f>Table2[[#This Row],[I Bar]]+3*Table2[[#This Row],[I Sigma]]</f>
        <v>65.221543554297781</v>
      </c>
      <c r="I38" s="2">
        <f>Table2[[#This Row],[I Bar]]-Table2[[#This Row],[I Sigma]]</f>
        <v>45.11398953553369</v>
      </c>
      <c r="J38" s="2">
        <f>Table2[[#This Row],[I Bar]]-2*Table2[[#This Row],[I Sigma]]</f>
        <v>40.087101030842675</v>
      </c>
      <c r="K38" s="2">
        <f>Table2[[#This Row],[I Bar]]-3*Table2[[#This Row],[I Sigma]]</f>
        <v>35.060212526151652</v>
      </c>
      <c r="L38" s="2">
        <f>3.267*Table2[[#This Row],[MR Bar]]</f>
        <v>18.524968872163235</v>
      </c>
      <c r="M38" s="2">
        <v>0</v>
      </c>
    </row>
    <row r="39" spans="1:13" x14ac:dyDescent="0.25">
      <c r="A39" s="2">
        <v>51.860766092228481</v>
      </c>
      <c r="B39" s="2">
        <f>AVERAGE(Table2[I])</f>
        <v>50.140878040224713</v>
      </c>
      <c r="C39" s="2">
        <f t="shared" si="1"/>
        <v>3.3208376201734282</v>
      </c>
      <c r="D39" s="2">
        <f>AVERAGE(Table2[MR])</f>
        <v>5.6703302332914713</v>
      </c>
      <c r="E39" s="2">
        <f>Table2[[#This Row],[MR Bar]]/1.128</f>
        <v>5.026888504691021</v>
      </c>
      <c r="F39" s="2">
        <f>Table2[[#This Row],[I Bar]]+Table2[[#This Row],[I Sigma]]</f>
        <v>55.167766544915736</v>
      </c>
      <c r="G39" s="2">
        <f>Table2[[#This Row],[I Bar]]+2*Table2[[#This Row],[I Sigma]]</f>
        <v>60.194655049606752</v>
      </c>
      <c r="H39" s="2">
        <f>Table2[[#This Row],[I Bar]]+3*Table2[[#This Row],[I Sigma]]</f>
        <v>65.221543554297781</v>
      </c>
      <c r="I39" s="2">
        <f>Table2[[#This Row],[I Bar]]-Table2[[#This Row],[I Sigma]]</f>
        <v>45.11398953553369</v>
      </c>
      <c r="J39" s="2">
        <f>Table2[[#This Row],[I Bar]]-2*Table2[[#This Row],[I Sigma]]</f>
        <v>40.087101030842675</v>
      </c>
      <c r="K39" s="2">
        <f>Table2[[#This Row],[I Bar]]-3*Table2[[#This Row],[I Sigma]]</f>
        <v>35.060212526151652</v>
      </c>
      <c r="L39" s="2">
        <f>3.267*Table2[[#This Row],[MR Bar]]</f>
        <v>18.524968872163235</v>
      </c>
      <c r="M39" s="2">
        <v>0</v>
      </c>
    </row>
    <row r="40" spans="1:13" x14ac:dyDescent="0.25">
      <c r="A40" s="2">
        <v>55.181603712401909</v>
      </c>
      <c r="B40" s="2">
        <f>AVERAGE(Table2[I])</f>
        <v>50.140878040224713</v>
      </c>
      <c r="C40" s="2">
        <f t="shared" si="1"/>
        <v>2.2275699203229493</v>
      </c>
      <c r="D40" s="2">
        <f>AVERAGE(Table2[MR])</f>
        <v>5.6703302332914713</v>
      </c>
      <c r="E40" s="2">
        <f>Table2[[#This Row],[MR Bar]]/1.128</f>
        <v>5.026888504691021</v>
      </c>
      <c r="F40" s="2">
        <f>Table2[[#This Row],[I Bar]]+Table2[[#This Row],[I Sigma]]</f>
        <v>55.167766544915736</v>
      </c>
      <c r="G40" s="2">
        <f>Table2[[#This Row],[I Bar]]+2*Table2[[#This Row],[I Sigma]]</f>
        <v>60.194655049606752</v>
      </c>
      <c r="H40" s="2">
        <f>Table2[[#This Row],[I Bar]]+3*Table2[[#This Row],[I Sigma]]</f>
        <v>65.221543554297781</v>
      </c>
      <c r="I40" s="2">
        <f>Table2[[#This Row],[I Bar]]-Table2[[#This Row],[I Sigma]]</f>
        <v>45.11398953553369</v>
      </c>
      <c r="J40" s="2">
        <f>Table2[[#This Row],[I Bar]]-2*Table2[[#This Row],[I Sigma]]</f>
        <v>40.087101030842675</v>
      </c>
      <c r="K40" s="2">
        <f>Table2[[#This Row],[I Bar]]-3*Table2[[#This Row],[I Sigma]]</f>
        <v>35.060212526151652</v>
      </c>
      <c r="L40" s="2">
        <f>3.267*Table2[[#This Row],[MR Bar]]</f>
        <v>18.524968872163235</v>
      </c>
      <c r="M40" s="2">
        <v>0</v>
      </c>
    </row>
    <row r="41" spans="1:13" x14ac:dyDescent="0.25">
      <c r="A41" s="2">
        <v>52.95403379207896</v>
      </c>
      <c r="B41" s="2">
        <f>AVERAGE(Table2[I])</f>
        <v>50.140878040224713</v>
      </c>
      <c r="C41" s="2">
        <f t="shared" si="1"/>
        <v>4.4855788081911285</v>
      </c>
      <c r="D41" s="2">
        <f>AVERAGE(Table2[MR])</f>
        <v>5.6703302332914713</v>
      </c>
      <c r="E41" s="2">
        <f>Table2[[#This Row],[MR Bar]]/1.128</f>
        <v>5.026888504691021</v>
      </c>
      <c r="F41" s="2">
        <f>Table2[[#This Row],[I Bar]]+Table2[[#This Row],[I Sigma]]</f>
        <v>55.167766544915736</v>
      </c>
      <c r="G41" s="2">
        <f>Table2[[#This Row],[I Bar]]+2*Table2[[#This Row],[I Sigma]]</f>
        <v>60.194655049606752</v>
      </c>
      <c r="H41" s="2">
        <f>Table2[[#This Row],[I Bar]]+3*Table2[[#This Row],[I Sigma]]</f>
        <v>65.221543554297781</v>
      </c>
      <c r="I41" s="2">
        <f>Table2[[#This Row],[I Bar]]-Table2[[#This Row],[I Sigma]]</f>
        <v>45.11398953553369</v>
      </c>
      <c r="J41" s="2">
        <f>Table2[[#This Row],[I Bar]]-2*Table2[[#This Row],[I Sigma]]</f>
        <v>40.087101030842675</v>
      </c>
      <c r="K41" s="2">
        <f>Table2[[#This Row],[I Bar]]-3*Table2[[#This Row],[I Sigma]]</f>
        <v>35.060212526151652</v>
      </c>
      <c r="L41" s="2">
        <f>3.267*Table2[[#This Row],[MR Bar]]</f>
        <v>18.524968872163235</v>
      </c>
      <c r="M41" s="2">
        <v>0</v>
      </c>
    </row>
    <row r="42" spans="1:13" x14ac:dyDescent="0.25">
      <c r="A42" s="2">
        <v>48.468454983887831</v>
      </c>
      <c r="B42" s="2">
        <f>AVERAGE(Table2[I])</f>
        <v>50.140878040224713</v>
      </c>
      <c r="C42" s="2">
        <f t="shared" si="1"/>
        <v>7.1536285746590096</v>
      </c>
      <c r="D42" s="2">
        <f>AVERAGE(Table2[MR])</f>
        <v>5.6703302332914713</v>
      </c>
      <c r="E42" s="2">
        <f>Table2[[#This Row],[MR Bar]]/1.128</f>
        <v>5.026888504691021</v>
      </c>
      <c r="F42" s="2">
        <f>Table2[[#This Row],[I Bar]]+Table2[[#This Row],[I Sigma]]</f>
        <v>55.167766544915736</v>
      </c>
      <c r="G42" s="2">
        <f>Table2[[#This Row],[I Bar]]+2*Table2[[#This Row],[I Sigma]]</f>
        <v>60.194655049606752</v>
      </c>
      <c r="H42" s="2">
        <f>Table2[[#This Row],[I Bar]]+3*Table2[[#This Row],[I Sigma]]</f>
        <v>65.221543554297781</v>
      </c>
      <c r="I42" s="2">
        <f>Table2[[#This Row],[I Bar]]-Table2[[#This Row],[I Sigma]]</f>
        <v>45.11398953553369</v>
      </c>
      <c r="J42" s="2">
        <f>Table2[[#This Row],[I Bar]]-2*Table2[[#This Row],[I Sigma]]</f>
        <v>40.087101030842675</v>
      </c>
      <c r="K42" s="2">
        <f>Table2[[#This Row],[I Bar]]-3*Table2[[#This Row],[I Sigma]]</f>
        <v>35.060212526151652</v>
      </c>
      <c r="L42" s="2">
        <f>3.267*Table2[[#This Row],[MR Bar]]</f>
        <v>18.524968872163235</v>
      </c>
      <c r="M42" s="2">
        <v>0</v>
      </c>
    </row>
    <row r="43" spans="1:13" x14ac:dyDescent="0.25">
      <c r="A43" s="2">
        <v>55.622083558546841</v>
      </c>
      <c r="B43" s="2">
        <f>AVERAGE(Table2[I])</f>
        <v>50.140878040224713</v>
      </c>
      <c r="C43" s="2">
        <f t="shared" si="1"/>
        <v>2.8523067499024322</v>
      </c>
      <c r="D43" s="2">
        <f>AVERAGE(Table2[MR])</f>
        <v>5.6703302332914713</v>
      </c>
      <c r="E43" s="2">
        <f>Table2[[#This Row],[MR Bar]]/1.128</f>
        <v>5.026888504691021</v>
      </c>
      <c r="F43" s="2">
        <f>Table2[[#This Row],[I Bar]]+Table2[[#This Row],[I Sigma]]</f>
        <v>55.167766544915736</v>
      </c>
      <c r="G43" s="2">
        <f>Table2[[#This Row],[I Bar]]+2*Table2[[#This Row],[I Sigma]]</f>
        <v>60.194655049606752</v>
      </c>
      <c r="H43" s="2">
        <f>Table2[[#This Row],[I Bar]]+3*Table2[[#This Row],[I Sigma]]</f>
        <v>65.221543554297781</v>
      </c>
      <c r="I43" s="2">
        <f>Table2[[#This Row],[I Bar]]-Table2[[#This Row],[I Sigma]]</f>
        <v>45.11398953553369</v>
      </c>
      <c r="J43" s="2">
        <f>Table2[[#This Row],[I Bar]]-2*Table2[[#This Row],[I Sigma]]</f>
        <v>40.087101030842675</v>
      </c>
      <c r="K43" s="2">
        <f>Table2[[#This Row],[I Bar]]-3*Table2[[#This Row],[I Sigma]]</f>
        <v>35.060212526151652</v>
      </c>
      <c r="L43" s="2">
        <f>3.267*Table2[[#This Row],[MR Bar]]</f>
        <v>18.524968872163235</v>
      </c>
      <c r="M43" s="2">
        <v>0</v>
      </c>
    </row>
    <row r="44" spans="1:13" x14ac:dyDescent="0.25">
      <c r="A44" s="2">
        <v>52.769776808644409</v>
      </c>
      <c r="B44" s="2">
        <f>AVERAGE(Table2[I])</f>
        <v>50.140878040224713</v>
      </c>
      <c r="C44" s="2">
        <f t="shared" si="1"/>
        <v>0.52465480478655024</v>
      </c>
      <c r="D44" s="2">
        <f>AVERAGE(Table2[MR])</f>
        <v>5.6703302332914713</v>
      </c>
      <c r="E44" s="2">
        <f>Table2[[#This Row],[MR Bar]]/1.128</f>
        <v>5.026888504691021</v>
      </c>
      <c r="F44" s="2">
        <f>Table2[[#This Row],[I Bar]]+Table2[[#This Row],[I Sigma]]</f>
        <v>55.167766544915736</v>
      </c>
      <c r="G44" s="2">
        <f>Table2[[#This Row],[I Bar]]+2*Table2[[#This Row],[I Sigma]]</f>
        <v>60.194655049606752</v>
      </c>
      <c r="H44" s="2">
        <f>Table2[[#This Row],[I Bar]]+3*Table2[[#This Row],[I Sigma]]</f>
        <v>65.221543554297781</v>
      </c>
      <c r="I44" s="2">
        <f>Table2[[#This Row],[I Bar]]-Table2[[#This Row],[I Sigma]]</f>
        <v>45.11398953553369</v>
      </c>
      <c r="J44" s="2">
        <f>Table2[[#This Row],[I Bar]]-2*Table2[[#This Row],[I Sigma]]</f>
        <v>40.087101030842675</v>
      </c>
      <c r="K44" s="2">
        <f>Table2[[#This Row],[I Bar]]-3*Table2[[#This Row],[I Sigma]]</f>
        <v>35.060212526151652</v>
      </c>
      <c r="L44" s="2">
        <f>3.267*Table2[[#This Row],[MR Bar]]</f>
        <v>18.524968872163235</v>
      </c>
      <c r="M44" s="2">
        <v>0</v>
      </c>
    </row>
    <row r="45" spans="1:13" x14ac:dyDescent="0.25">
      <c r="A45" s="2">
        <v>52.245122003857858</v>
      </c>
      <c r="B45" s="2">
        <f>AVERAGE(Table2[I])</f>
        <v>50.140878040224713</v>
      </c>
      <c r="C45" s="2">
        <f t="shared" si="1"/>
        <v>9.1915981357294925</v>
      </c>
      <c r="D45" s="2">
        <f>AVERAGE(Table2[MR])</f>
        <v>5.6703302332914713</v>
      </c>
      <c r="E45" s="2">
        <f>Table2[[#This Row],[MR Bar]]/1.128</f>
        <v>5.026888504691021</v>
      </c>
      <c r="F45" s="2">
        <f>Table2[[#This Row],[I Bar]]+Table2[[#This Row],[I Sigma]]</f>
        <v>55.167766544915736</v>
      </c>
      <c r="G45" s="2">
        <f>Table2[[#This Row],[I Bar]]+2*Table2[[#This Row],[I Sigma]]</f>
        <v>60.194655049606752</v>
      </c>
      <c r="H45" s="2">
        <f>Table2[[#This Row],[I Bar]]+3*Table2[[#This Row],[I Sigma]]</f>
        <v>65.221543554297781</v>
      </c>
      <c r="I45" s="2">
        <f>Table2[[#This Row],[I Bar]]-Table2[[#This Row],[I Sigma]]</f>
        <v>45.11398953553369</v>
      </c>
      <c r="J45" s="2">
        <f>Table2[[#This Row],[I Bar]]-2*Table2[[#This Row],[I Sigma]]</f>
        <v>40.087101030842675</v>
      </c>
      <c r="K45" s="2">
        <f>Table2[[#This Row],[I Bar]]-3*Table2[[#This Row],[I Sigma]]</f>
        <v>35.060212526151652</v>
      </c>
      <c r="L45" s="2">
        <f>3.267*Table2[[#This Row],[MR Bar]]</f>
        <v>18.524968872163235</v>
      </c>
      <c r="M45" s="2">
        <v>0</v>
      </c>
    </row>
    <row r="46" spans="1:13" x14ac:dyDescent="0.25">
      <c r="A46" s="2">
        <v>43.053523868128366</v>
      </c>
      <c r="B46" s="2">
        <f>AVERAGE(Table2[I])</f>
        <v>50.140878040224713</v>
      </c>
      <c r="C46" s="2">
        <f t="shared" si="1"/>
        <v>12.466276850740648</v>
      </c>
      <c r="D46" s="2">
        <f>AVERAGE(Table2[MR])</f>
        <v>5.6703302332914713</v>
      </c>
      <c r="E46" s="2">
        <f>Table2[[#This Row],[MR Bar]]/1.128</f>
        <v>5.026888504691021</v>
      </c>
      <c r="F46" s="2">
        <f>Table2[[#This Row],[I Bar]]+Table2[[#This Row],[I Sigma]]</f>
        <v>55.167766544915736</v>
      </c>
      <c r="G46" s="2">
        <f>Table2[[#This Row],[I Bar]]+2*Table2[[#This Row],[I Sigma]]</f>
        <v>60.194655049606752</v>
      </c>
      <c r="H46" s="2">
        <f>Table2[[#This Row],[I Bar]]+3*Table2[[#This Row],[I Sigma]]</f>
        <v>65.221543554297781</v>
      </c>
      <c r="I46" s="2">
        <f>Table2[[#This Row],[I Bar]]-Table2[[#This Row],[I Sigma]]</f>
        <v>45.11398953553369</v>
      </c>
      <c r="J46" s="2">
        <f>Table2[[#This Row],[I Bar]]-2*Table2[[#This Row],[I Sigma]]</f>
        <v>40.087101030842675</v>
      </c>
      <c r="K46" s="2">
        <f>Table2[[#This Row],[I Bar]]-3*Table2[[#This Row],[I Sigma]]</f>
        <v>35.060212526151652</v>
      </c>
      <c r="L46" s="2">
        <f>3.267*Table2[[#This Row],[MR Bar]]</f>
        <v>18.524968872163235</v>
      </c>
      <c r="M46" s="2">
        <v>0</v>
      </c>
    </row>
    <row r="47" spans="1:13" x14ac:dyDescent="0.25">
      <c r="A47" s="2">
        <v>55.519800718869014</v>
      </c>
      <c r="B47" s="2">
        <f>AVERAGE(Table2[I])</f>
        <v>50.140878040224713</v>
      </c>
      <c r="C47" s="2">
        <f t="shared" si="1"/>
        <v>0.9022394565556624</v>
      </c>
      <c r="D47" s="2">
        <f>AVERAGE(Table2[MR])</f>
        <v>5.6703302332914713</v>
      </c>
      <c r="E47" s="2">
        <f>Table2[[#This Row],[MR Bar]]/1.128</f>
        <v>5.026888504691021</v>
      </c>
      <c r="F47" s="2">
        <f>Table2[[#This Row],[I Bar]]+Table2[[#This Row],[I Sigma]]</f>
        <v>55.167766544915736</v>
      </c>
      <c r="G47" s="2">
        <f>Table2[[#This Row],[I Bar]]+2*Table2[[#This Row],[I Sigma]]</f>
        <v>60.194655049606752</v>
      </c>
      <c r="H47" s="2">
        <f>Table2[[#This Row],[I Bar]]+3*Table2[[#This Row],[I Sigma]]</f>
        <v>65.221543554297781</v>
      </c>
      <c r="I47" s="2">
        <f>Table2[[#This Row],[I Bar]]-Table2[[#This Row],[I Sigma]]</f>
        <v>45.11398953553369</v>
      </c>
      <c r="J47" s="2">
        <f>Table2[[#This Row],[I Bar]]-2*Table2[[#This Row],[I Sigma]]</f>
        <v>40.087101030842675</v>
      </c>
      <c r="K47" s="2">
        <f>Table2[[#This Row],[I Bar]]-3*Table2[[#This Row],[I Sigma]]</f>
        <v>35.060212526151652</v>
      </c>
      <c r="L47" s="2">
        <f>3.267*Table2[[#This Row],[MR Bar]]</f>
        <v>18.524968872163235</v>
      </c>
      <c r="M47" s="2">
        <v>0</v>
      </c>
    </row>
    <row r="48" spans="1:13" x14ac:dyDescent="0.25">
      <c r="A48" s="2">
        <v>54.617561262313352</v>
      </c>
      <c r="B48" s="2">
        <f>AVERAGE(Table2[I])</f>
        <v>50.140878040224713</v>
      </c>
      <c r="C48" s="2">
        <f t="shared" si="1"/>
        <v>5.1956693780805878</v>
      </c>
      <c r="D48" s="2">
        <f>AVERAGE(Table2[MR])</f>
        <v>5.6703302332914713</v>
      </c>
      <c r="E48" s="2">
        <f>Table2[[#This Row],[MR Bar]]/1.128</f>
        <v>5.026888504691021</v>
      </c>
      <c r="F48" s="2">
        <f>Table2[[#This Row],[I Bar]]+Table2[[#This Row],[I Sigma]]</f>
        <v>55.167766544915736</v>
      </c>
      <c r="G48" s="2">
        <f>Table2[[#This Row],[I Bar]]+2*Table2[[#This Row],[I Sigma]]</f>
        <v>60.194655049606752</v>
      </c>
      <c r="H48" s="2">
        <f>Table2[[#This Row],[I Bar]]+3*Table2[[#This Row],[I Sigma]]</f>
        <v>65.221543554297781</v>
      </c>
      <c r="I48" s="2">
        <f>Table2[[#This Row],[I Bar]]-Table2[[#This Row],[I Sigma]]</f>
        <v>45.11398953553369</v>
      </c>
      <c r="J48" s="2">
        <f>Table2[[#This Row],[I Bar]]-2*Table2[[#This Row],[I Sigma]]</f>
        <v>40.087101030842675</v>
      </c>
      <c r="K48" s="2">
        <f>Table2[[#This Row],[I Bar]]-3*Table2[[#This Row],[I Sigma]]</f>
        <v>35.060212526151652</v>
      </c>
      <c r="L48" s="2">
        <f>3.267*Table2[[#This Row],[MR Bar]]</f>
        <v>18.524968872163235</v>
      </c>
      <c r="M48" s="2">
        <v>0</v>
      </c>
    </row>
    <row r="49" spans="1:13" x14ac:dyDescent="0.25">
      <c r="A49" s="2">
        <v>49.421891884232764</v>
      </c>
      <c r="B49" s="2">
        <f>AVERAGE(Table2[I])</f>
        <v>50.140878040224713</v>
      </c>
      <c r="C49" s="2">
        <f t="shared" si="1"/>
        <v>9.0349040430226921</v>
      </c>
      <c r="D49" s="2">
        <f>AVERAGE(Table2[MR])</f>
        <v>5.6703302332914713</v>
      </c>
      <c r="E49" s="2">
        <f>Table2[[#This Row],[MR Bar]]/1.128</f>
        <v>5.026888504691021</v>
      </c>
      <c r="F49" s="2">
        <f>Table2[[#This Row],[I Bar]]+Table2[[#This Row],[I Sigma]]</f>
        <v>55.167766544915736</v>
      </c>
      <c r="G49" s="2">
        <f>Table2[[#This Row],[I Bar]]+2*Table2[[#This Row],[I Sigma]]</f>
        <v>60.194655049606752</v>
      </c>
      <c r="H49" s="2">
        <f>Table2[[#This Row],[I Bar]]+3*Table2[[#This Row],[I Sigma]]</f>
        <v>65.221543554297781</v>
      </c>
      <c r="I49" s="2">
        <f>Table2[[#This Row],[I Bar]]-Table2[[#This Row],[I Sigma]]</f>
        <v>45.11398953553369</v>
      </c>
      <c r="J49" s="2">
        <f>Table2[[#This Row],[I Bar]]-2*Table2[[#This Row],[I Sigma]]</f>
        <v>40.087101030842675</v>
      </c>
      <c r="K49" s="2">
        <f>Table2[[#This Row],[I Bar]]-3*Table2[[#This Row],[I Sigma]]</f>
        <v>35.060212526151652</v>
      </c>
      <c r="L49" s="2">
        <f>3.267*Table2[[#This Row],[MR Bar]]</f>
        <v>18.524968872163235</v>
      </c>
      <c r="M49" s="2">
        <v>0</v>
      </c>
    </row>
    <row r="50" spans="1:13" x14ac:dyDescent="0.25">
      <c r="A50" s="2">
        <v>40.386987841210072</v>
      </c>
      <c r="B50" s="2">
        <f>AVERAGE(Table2[I])</f>
        <v>50.140878040224713</v>
      </c>
      <c r="C50" s="2">
        <f t="shared" si="1"/>
        <v>3.4203505861949424</v>
      </c>
      <c r="D50" s="2">
        <f>AVERAGE(Table2[MR])</f>
        <v>5.6703302332914713</v>
      </c>
      <c r="E50" s="2">
        <f>Table2[[#This Row],[MR Bar]]/1.128</f>
        <v>5.026888504691021</v>
      </c>
      <c r="F50" s="2">
        <f>Table2[[#This Row],[I Bar]]+Table2[[#This Row],[I Sigma]]</f>
        <v>55.167766544915736</v>
      </c>
      <c r="G50" s="2">
        <f>Table2[[#This Row],[I Bar]]+2*Table2[[#This Row],[I Sigma]]</f>
        <v>60.194655049606752</v>
      </c>
      <c r="H50" s="2">
        <f>Table2[[#This Row],[I Bar]]+3*Table2[[#This Row],[I Sigma]]</f>
        <v>65.221543554297781</v>
      </c>
      <c r="I50" s="2">
        <f>Table2[[#This Row],[I Bar]]-Table2[[#This Row],[I Sigma]]</f>
        <v>45.11398953553369</v>
      </c>
      <c r="J50" s="2">
        <f>Table2[[#This Row],[I Bar]]-2*Table2[[#This Row],[I Sigma]]</f>
        <v>40.087101030842675</v>
      </c>
      <c r="K50" s="2">
        <f>Table2[[#This Row],[I Bar]]-3*Table2[[#This Row],[I Sigma]]</f>
        <v>35.060212526151652</v>
      </c>
      <c r="L50" s="2">
        <f>3.267*Table2[[#This Row],[MR Bar]]</f>
        <v>18.524968872163235</v>
      </c>
      <c r="M50" s="2">
        <v>0</v>
      </c>
    </row>
    <row r="51" spans="1:13" x14ac:dyDescent="0.25">
      <c r="A51" s="2">
        <v>43.807338427405014</v>
      </c>
      <c r="B51" s="2">
        <f>AVERAGE(Table2[I])</f>
        <v>50.140878040224713</v>
      </c>
      <c r="C51" s="2">
        <f t="shared" si="1"/>
        <v>0</v>
      </c>
      <c r="D51" s="2">
        <f>AVERAGE(Table2[MR])</f>
        <v>5.6703302332914713</v>
      </c>
      <c r="E51" s="2">
        <f>Table2[[#This Row],[MR Bar]]/1.128</f>
        <v>5.026888504691021</v>
      </c>
      <c r="F51" s="2">
        <f>Table2[[#This Row],[I Bar]]+Table2[[#This Row],[I Sigma]]</f>
        <v>55.167766544915736</v>
      </c>
      <c r="G51" s="2">
        <f>Table2[[#This Row],[I Bar]]+2*Table2[[#This Row],[I Sigma]]</f>
        <v>60.194655049606752</v>
      </c>
      <c r="H51" s="2">
        <f>Table2[[#This Row],[I Bar]]+3*Table2[[#This Row],[I Sigma]]</f>
        <v>65.221543554297781</v>
      </c>
      <c r="I51" s="2">
        <f>Table2[[#This Row],[I Bar]]-Table2[[#This Row],[I Sigma]]</f>
        <v>45.11398953553369</v>
      </c>
      <c r="J51" s="2">
        <f>Table2[[#This Row],[I Bar]]-2*Table2[[#This Row],[I Sigma]]</f>
        <v>40.087101030842675</v>
      </c>
      <c r="K51" s="2">
        <f>Table2[[#This Row],[I Bar]]-3*Table2[[#This Row],[I Sigma]]</f>
        <v>35.060212526151652</v>
      </c>
      <c r="L51" s="2">
        <f>3.267*Table2[[#This Row],[MR Bar]]</f>
        <v>18.524968872163235</v>
      </c>
      <c r="M51" s="2">
        <v>0</v>
      </c>
    </row>
  </sheetData>
  <pageMargins left="0.7" right="0.7" top="0.75" bottom="0.75" header="0.3" footer="0.3"/>
  <ignoredErrors>
    <ignoredError sqref="M2:M3 M4:M51" calculatedColumn="1"/>
    <ignoredError sqref="C2:C51" formulaRange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549B-D9BA-4F8B-BF0F-23FBCAE51AAF}">
  <dimension ref="A1"/>
  <sheetViews>
    <sheetView workbookViewId="0">
      <selection activeCell="E30" sqref="E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 Worksheet</vt:lpstr>
      <vt:lpstr>Completed Worksheet</vt:lpstr>
      <vt:lpstr>Control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Success Hacks</dc:creator>
  <cp:lastModifiedBy>Yan, Yang</cp:lastModifiedBy>
  <dcterms:created xsi:type="dcterms:W3CDTF">2021-05-31T11:35:21Z</dcterms:created>
  <dcterms:modified xsi:type="dcterms:W3CDTF">2024-08-12T19:57:10Z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2024-08-12T18:50:40Z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8561142b-247d-4a37-8e29-294460b5d0f2</vt:lpwstr>
  </property>
  <property fmtid="{D5CDD505-2E9C-101B-9397-08002B2CF9AE}" pid="8" name="MSIP_Label_b7864bb8-b671-4bed-ba85-9478127ab5e9_ContentBits">
    <vt:lpwstr>0</vt:lpwstr>
  </property>
</Properties>
</file>